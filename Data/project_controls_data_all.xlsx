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ra\power_bi_raw_data\"/>
    </mc:Choice>
  </mc:AlternateContent>
  <xr:revisionPtr revIDLastSave="0" documentId="13_ncr:1_{D6258F3A-F7CE-4714-9917-862471523737}" xr6:coauthVersionLast="47" xr6:coauthVersionMax="47" xr10:uidLastSave="{00000000-0000-0000-0000-000000000000}"/>
  <bookViews>
    <workbookView xWindow="4440" yWindow="945" windowWidth="13875" windowHeight="14175" tabRatio="780" activeTab="4" xr2:uid="{C12F9EA7-521F-462C-8D39-24D3CB274305}"/>
  </bookViews>
  <sheets>
    <sheet name="Project" sheetId="1" r:id="rId1"/>
    <sheet name="cost" sheetId="2" r:id="rId2"/>
    <sheet name="schedule" sheetId="3" r:id="rId3"/>
    <sheet name="manhours" sheetId="4" r:id="rId4"/>
    <sheet name="Issu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2" l="1"/>
  <c r="H49" i="2"/>
  <c r="I43" i="2"/>
  <c r="H43" i="2"/>
  <c r="I37" i="2"/>
  <c r="H37" i="2"/>
  <c r="I31" i="2"/>
  <c r="H31" i="2"/>
  <c r="I25" i="2"/>
  <c r="H25" i="2"/>
  <c r="I19" i="2"/>
  <c r="H19" i="2"/>
  <c r="I15" i="2"/>
  <c r="H15" i="2"/>
  <c r="I7" i="2"/>
  <c r="H7" i="2"/>
</calcChain>
</file>

<file path=xl/sharedStrings.xml><?xml version="1.0" encoding="utf-8"?>
<sst xmlns="http://schemas.openxmlformats.org/spreadsheetml/2006/main" count="485" uniqueCount="128">
  <si>
    <t>ProjectID</t>
  </si>
  <si>
    <t>ProjectName</t>
  </si>
  <si>
    <t>ProjectType</t>
  </si>
  <si>
    <t>ClientName</t>
  </si>
  <si>
    <t>ProjectManager</t>
  </si>
  <si>
    <t>Location</t>
  </si>
  <si>
    <t>StartDate</t>
  </si>
  <si>
    <t>EndDate</t>
  </si>
  <si>
    <t>ContractValue</t>
  </si>
  <si>
    <t>Status</t>
  </si>
  <si>
    <t>Scaffolding</t>
  </si>
  <si>
    <t>Client A</t>
  </si>
  <si>
    <t>Edmonton</t>
  </si>
  <si>
    <t>Active</t>
  </si>
  <si>
    <t>Insulation</t>
  </si>
  <si>
    <t>Client B</t>
  </si>
  <si>
    <t>Calgary</t>
  </si>
  <si>
    <t>Shutdown</t>
  </si>
  <si>
    <t>Client C</t>
  </si>
  <si>
    <t>Red Deer</t>
  </si>
  <si>
    <t>CostDate</t>
  </si>
  <si>
    <t>CostCategory</t>
  </si>
  <si>
    <t>BudgetCost</t>
  </si>
  <si>
    <t>ActualCost</t>
  </si>
  <si>
    <t>ChangeOrder</t>
  </si>
  <si>
    <t>InvoiceNumber</t>
  </si>
  <si>
    <t>Labor</t>
  </si>
  <si>
    <t>No</t>
  </si>
  <si>
    <t>INV001</t>
  </si>
  <si>
    <t>INV002</t>
  </si>
  <si>
    <t>Material</t>
  </si>
  <si>
    <t>Yes</t>
  </si>
  <si>
    <t>INV003</t>
  </si>
  <si>
    <t>Equipment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</si>
  <si>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</si>
  <si>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</si>
  <si>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</si>
  <si>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</si>
  <si>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</si>
  <si>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</si>
  <si>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</si>
  <si>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</si>
  <si>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</si>
  <si>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</si>
  <si>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</si>
  <si>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</si>
  <si>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ReportMonth</t>
  </si>
  <si>
    <t>Milestone</t>
  </si>
  <si>
    <t>DelayReason</t>
  </si>
  <si>
    <t>Foundation</t>
  </si>
  <si>
    <t>None</t>
  </si>
  <si>
    <t>Structure</t>
  </si>
  <si>
    <t>Weather</t>
  </si>
  <si>
    <t>Interior</t>
  </si>
  <si>
    <t>Scope</t>
  </si>
  <si>
    <t>Completion</t>
  </si>
  <si>
    <t>WorkMonth</t>
  </si>
  <si>
    <t>PlannedHours</t>
  </si>
  <si>
    <t>ActualHours</t>
  </si>
  <si>
    <t>Trade</t>
  </si>
  <si>
    <t>Scaffold</t>
  </si>
  <si>
    <t>IssueID</t>
  </si>
  <si>
    <t>IssueType</t>
  </si>
  <si>
    <t>IssueDescription</t>
  </si>
  <si>
    <t>CostImpact</t>
  </si>
  <si>
    <t>ScheduleImpactDays</t>
  </si>
  <si>
    <t>Open</t>
  </si>
  <si>
    <t>Closed</t>
  </si>
  <si>
    <t>PM Smith</t>
  </si>
  <si>
    <t>PM Brown</t>
  </si>
  <si>
    <t>PM Wilson</t>
  </si>
  <si>
    <t>ProjectA</t>
  </si>
  <si>
    <t>ProjectB</t>
  </si>
  <si>
    <t>ProjectC</t>
  </si>
  <si>
    <t>ProjectD</t>
  </si>
  <si>
    <t>Electrical</t>
  </si>
  <si>
    <t>Client D</t>
  </si>
  <si>
    <t>PM Johnson</t>
  </si>
  <si>
    <t>ProjectE</t>
  </si>
  <si>
    <t>Painting</t>
  </si>
  <si>
    <t>Client E</t>
  </si>
  <si>
    <t>PM Davis</t>
  </si>
  <si>
    <t>Lethbridge</t>
  </si>
  <si>
    <t>ProjectF</t>
  </si>
  <si>
    <t>Plumbing</t>
  </si>
  <si>
    <t>Client F</t>
  </si>
  <si>
    <t>PM Lee</t>
  </si>
  <si>
    <t>ProjectG</t>
  </si>
  <si>
    <t>Client G</t>
  </si>
  <si>
    <t>PM Clark</t>
  </si>
  <si>
    <t>ProjectH</t>
  </si>
  <si>
    <t>Client H</t>
  </si>
  <si>
    <t>PM Taylor</t>
  </si>
  <si>
    <t>INV019</t>
  </si>
  <si>
    <t>INV020</t>
  </si>
  <si>
    <t>INV021</t>
  </si>
  <si>
    <t>INV022</t>
  </si>
  <si>
    <t>INV023</t>
  </si>
  <si>
    <t>INV024</t>
  </si>
  <si>
    <t>PlannedProgress (%)</t>
  </si>
  <si>
    <t>ActualProgress(%)</t>
  </si>
  <si>
    <t>IssueDate</t>
  </si>
  <si>
    <t>null</t>
  </si>
  <si>
    <t>Schedule</t>
  </si>
  <si>
    <t>Equipment delivery delayed due to supplier</t>
  </si>
  <si>
    <t>Cost</t>
  </si>
  <si>
    <t>Labor overtime exceeded planned hours</t>
  </si>
  <si>
    <t>Mitigated</t>
  </si>
  <si>
    <t>Procurement</t>
  </si>
  <si>
    <t>Long-lead material arrived later than planned</t>
  </si>
  <si>
    <t>Scope / Change</t>
  </si>
  <si>
    <t>Client requested additional inspection</t>
  </si>
  <si>
    <t>Quality</t>
  </si>
  <si>
    <t>Failed inspection requiring rework</t>
  </si>
  <si>
    <t>Resource</t>
  </si>
  <si>
    <t>Skilled labor shortage</t>
  </si>
  <si>
    <t>Risk Event</t>
  </si>
  <si>
    <t>Weather disruption (heavy snow)</t>
  </si>
  <si>
    <t>Material price increase (steel)</t>
  </si>
  <si>
    <t>External</t>
  </si>
  <si>
    <t>Utility relocation delayed by third party</t>
  </si>
  <si>
    <t>Milestone approval delayed</t>
  </si>
  <si>
    <t>Design revision issued after construction</t>
  </si>
  <si>
    <t>Installation error discovered</t>
  </si>
  <si>
    <t>Incorrect material delivered</t>
  </si>
  <si>
    <t>Unplanned equipment rental</t>
  </si>
  <si>
    <t>Late client decision on final layout</t>
  </si>
  <si>
    <t>Permit approval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</si>
</sst>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1009]* #,##0.00_-;\-[$$-1009]* #,##0.00_-;_-[$$-1009]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44" fontId="1" fillId="0" borderId="0" xfId="1" applyFont="1" applyAlignment="1">
      <alignment horizontal="center" vertical="center" wrapText="1"/>
    </xf>
    <xf numFmtId="44" fontId="0" fillId="0" borderId="0" xfId="1" applyFont="1"/>
    <xf numFmtId="0" fontId="0" fillId="0" borderId="0" xfId="0" applyAlignment="1">
      <alignment horizontal="center" vertical="center" wrapText="1"/>
    </xf>
    <xf numFmtId="44" fontId="0" fillId="0" borderId="0" xfId="0" applyNumberFormat="1"/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7" fontId="0" fillId="4" borderId="0" xfId="0" applyNumberFormat="1" applyFill="1" applyAlignment="1">
      <alignment horizontal="center" vertical="center" wrapText="1"/>
    </xf>
    <xf numFmtId="44" fontId="0" fillId="4" borderId="0" xfId="1" applyFont="1" applyFill="1" applyAlignment="1">
      <alignment horizontal="center" vertical="center" wrapText="1"/>
    </xf>
    <xf numFmtId="17" fontId="0" fillId="3" borderId="0" xfId="0" applyNumberFormat="1" applyFill="1" applyAlignment="1">
      <alignment horizontal="center" vertical="center" wrapText="1"/>
    </xf>
    <xf numFmtId="44" fontId="0" fillId="3" borderId="0" xfId="1" applyFont="1" applyFill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44" fontId="0" fillId="4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44" fontId="0" fillId="2" borderId="0" xfId="1" applyFont="1" applyFill="1" applyAlignment="1">
      <alignment horizontal="center"/>
    </xf>
    <xf numFmtId="17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8" borderId="0" xfId="0" applyFill="1"/>
    <xf numFmtId="0" fontId="0" fillId="9" borderId="0" xfId="0" applyFill="1"/>
    <xf numFmtId="14" fontId="0" fillId="9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99FFCC"/>
      <color rgb="FFFFFF99"/>
      <color rgb="FFFF8585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756A-122C-432F-9E54-F73373BA38C4}">
  <dimension ref="A1:J9"/>
  <sheetViews>
    <sheetView workbookViewId="0">
      <selection activeCell="G22" sqref="G22"/>
    </sheetView>
  </sheetViews>
  <sheetFormatPr defaultRowHeight="15" x14ac:dyDescent="0.25"/>
  <cols>
    <col min="3" max="3" width="12.5703125" customWidth="1"/>
    <col min="7" max="8" width="17.85546875" customWidth="1"/>
    <col min="9" max="9" width="1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71</v>
      </c>
      <c r="C2" t="s">
        <v>10</v>
      </c>
      <c r="D2" t="s">
        <v>11</v>
      </c>
      <c r="E2" t="s">
        <v>68</v>
      </c>
      <c r="F2" t="s">
        <v>12</v>
      </c>
      <c r="G2" s="2">
        <v>46027</v>
      </c>
      <c r="H2" s="2">
        <v>46203</v>
      </c>
      <c r="I2" s="3">
        <v>270000</v>
      </c>
      <c r="J2" t="s">
        <v>13</v>
      </c>
    </row>
    <row r="3" spans="1:10" x14ac:dyDescent="0.25">
      <c r="A3">
        <v>2</v>
      </c>
      <c r="B3" t="s">
        <v>72</v>
      </c>
      <c r="C3" t="s">
        <v>14</v>
      </c>
      <c r="D3" t="s">
        <v>15</v>
      </c>
      <c r="E3" t="s">
        <v>69</v>
      </c>
      <c r="F3" t="s">
        <v>16</v>
      </c>
      <c r="G3" s="2">
        <v>46027</v>
      </c>
      <c r="H3" s="2">
        <v>46265</v>
      </c>
      <c r="I3" s="3">
        <v>400000</v>
      </c>
      <c r="J3" t="s">
        <v>13</v>
      </c>
    </row>
    <row r="4" spans="1:10" x14ac:dyDescent="0.25">
      <c r="A4">
        <v>3</v>
      </c>
      <c r="B4" t="s">
        <v>73</v>
      </c>
      <c r="C4" t="s">
        <v>17</v>
      </c>
      <c r="D4" t="s">
        <v>18</v>
      </c>
      <c r="E4" t="s">
        <v>70</v>
      </c>
      <c r="F4" t="s">
        <v>19</v>
      </c>
      <c r="G4" s="2">
        <v>46027</v>
      </c>
      <c r="H4" s="2">
        <v>46142</v>
      </c>
      <c r="I4" s="3">
        <v>190000</v>
      </c>
      <c r="J4" t="s">
        <v>13</v>
      </c>
    </row>
    <row r="5" spans="1:10" x14ac:dyDescent="0.25">
      <c r="A5">
        <v>4</v>
      </c>
      <c r="B5" t="s">
        <v>74</v>
      </c>
      <c r="C5" t="s">
        <v>75</v>
      </c>
      <c r="D5" t="s">
        <v>76</v>
      </c>
      <c r="E5" t="s">
        <v>77</v>
      </c>
      <c r="F5" t="s">
        <v>12</v>
      </c>
      <c r="G5" s="2">
        <v>46027</v>
      </c>
      <c r="H5" s="2">
        <v>46203</v>
      </c>
      <c r="I5" s="3">
        <v>258000</v>
      </c>
      <c r="J5" t="s">
        <v>13</v>
      </c>
    </row>
    <row r="6" spans="1:10" x14ac:dyDescent="0.25">
      <c r="A6">
        <v>5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s="2">
        <v>46027</v>
      </c>
      <c r="H6" s="2">
        <v>46203</v>
      </c>
      <c r="I6" s="3">
        <v>162000</v>
      </c>
      <c r="J6" t="s">
        <v>13</v>
      </c>
    </row>
    <row r="7" spans="1:10" x14ac:dyDescent="0.25">
      <c r="A7">
        <v>6</v>
      </c>
      <c r="B7" t="s">
        <v>83</v>
      </c>
      <c r="C7" t="s">
        <v>84</v>
      </c>
      <c r="D7" t="s">
        <v>85</v>
      </c>
      <c r="E7" t="s">
        <v>86</v>
      </c>
      <c r="F7" t="s">
        <v>16</v>
      </c>
      <c r="G7" s="2">
        <v>46027</v>
      </c>
      <c r="H7" s="2">
        <v>46203</v>
      </c>
      <c r="I7" s="3">
        <v>304000</v>
      </c>
      <c r="J7" t="s">
        <v>13</v>
      </c>
    </row>
    <row r="8" spans="1:10" x14ac:dyDescent="0.25">
      <c r="A8">
        <v>7</v>
      </c>
      <c r="B8" t="s">
        <v>87</v>
      </c>
      <c r="C8" t="s">
        <v>14</v>
      </c>
      <c r="D8" t="s">
        <v>88</v>
      </c>
      <c r="E8" t="s">
        <v>89</v>
      </c>
      <c r="F8" t="s">
        <v>19</v>
      </c>
      <c r="G8" s="2">
        <v>46027</v>
      </c>
      <c r="H8" s="2">
        <v>46203</v>
      </c>
      <c r="I8" s="3">
        <v>338000</v>
      </c>
      <c r="J8" t="s">
        <v>13</v>
      </c>
    </row>
    <row r="9" spans="1:10" x14ac:dyDescent="0.25">
      <c r="A9">
        <v>8</v>
      </c>
      <c r="B9" t="s">
        <v>90</v>
      </c>
      <c r="C9" t="s">
        <v>17</v>
      </c>
      <c r="D9" t="s">
        <v>91</v>
      </c>
      <c r="E9" t="s">
        <v>92</v>
      </c>
      <c r="F9" t="s">
        <v>12</v>
      </c>
      <c r="G9" s="2">
        <v>46027</v>
      </c>
      <c r="H9" s="2">
        <v>46203</v>
      </c>
      <c r="I9" s="3">
        <v>366000</v>
      </c>
      <c r="J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192A-F0AA-4EAD-B486-D0CED6DA2B82}">
  <dimension ref="A1:J49"/>
  <sheetViews>
    <sheetView workbookViewId="0">
      <selection activeCell="I3" sqref="I3"/>
    </sheetView>
  </sheetViews>
  <sheetFormatPr defaultRowHeight="15" x14ac:dyDescent="0.25"/>
  <cols>
    <col min="2" max="2" width="13.5703125" customWidth="1"/>
    <col min="3" max="3" width="13.140625" customWidth="1"/>
    <col min="4" max="5" width="11.5703125" style="5" bestFit="1" customWidth="1"/>
    <col min="8" max="9" width="12.5703125" bestFit="1" customWidth="1"/>
  </cols>
  <sheetData>
    <row r="1" spans="1:10" ht="30" x14ac:dyDescent="0.25">
      <c r="A1" s="1" t="s">
        <v>0</v>
      </c>
      <c r="B1" s="6" t="s">
        <v>20</v>
      </c>
      <c r="C1" s="1" t="s">
        <v>21</v>
      </c>
      <c r="D1" s="4" t="s">
        <v>22</v>
      </c>
      <c r="E1" s="4" t="s">
        <v>23</v>
      </c>
      <c r="F1" s="1" t="s">
        <v>24</v>
      </c>
      <c r="G1" s="1" t="s">
        <v>25</v>
      </c>
    </row>
    <row r="2" spans="1:10" x14ac:dyDescent="0.25">
      <c r="A2" s="8">
        <v>1</v>
      </c>
      <c r="B2" s="13">
        <v>46023</v>
      </c>
      <c r="C2" s="8" t="s">
        <v>33</v>
      </c>
      <c r="D2" s="14">
        <v>50000</v>
      </c>
      <c r="E2" s="14">
        <v>50000</v>
      </c>
      <c r="F2" s="8" t="s">
        <v>27</v>
      </c>
      <c r="G2" s="8" t="s">
        <v>28</v>
      </c>
    </row>
    <row r="3" spans="1:10" x14ac:dyDescent="0.25">
      <c r="A3" s="8">
        <v>1</v>
      </c>
      <c r="B3" s="13">
        <v>46054</v>
      </c>
      <c r="C3" s="8" t="s">
        <v>26</v>
      </c>
      <c r="D3" s="14">
        <v>60000</v>
      </c>
      <c r="E3" s="14">
        <v>58000</v>
      </c>
      <c r="F3" s="8" t="s">
        <v>27</v>
      </c>
      <c r="G3" s="8" t="s">
        <v>29</v>
      </c>
    </row>
    <row r="4" spans="1:10" x14ac:dyDescent="0.25">
      <c r="A4" s="8">
        <v>1</v>
      </c>
      <c r="B4" s="13">
        <v>46082</v>
      </c>
      <c r="C4" s="8" t="s">
        <v>30</v>
      </c>
      <c r="D4" s="14">
        <v>40000</v>
      </c>
      <c r="E4" s="14">
        <v>36000</v>
      </c>
      <c r="F4" s="8" t="s">
        <v>31</v>
      </c>
      <c r="G4" s="8" t="s">
        <v>32</v>
      </c>
    </row>
    <row r="5" spans="1:10" x14ac:dyDescent="0.25">
      <c r="A5" s="8">
        <v>1</v>
      </c>
      <c r="B5" s="13">
        <v>46113</v>
      </c>
      <c r="C5" s="8" t="s">
        <v>33</v>
      </c>
      <c r="D5" s="14">
        <v>30000</v>
      </c>
      <c r="E5" s="8" t="s">
        <v>102</v>
      </c>
      <c r="F5" s="8" t="s">
        <v>102</v>
      </c>
      <c r="G5" s="8" t="s">
        <v>102</v>
      </c>
    </row>
    <row r="6" spans="1:10" x14ac:dyDescent="0.25">
      <c r="A6" s="8">
        <v>1</v>
      </c>
      <c r="B6" s="13">
        <v>46143</v>
      </c>
      <c r="C6" s="8" t="s">
        <v>26</v>
      </c>
      <c r="D6" s="14">
        <v>50000</v>
      </c>
      <c r="E6" s="8" t="s">
        <v>102</v>
      </c>
      <c r="F6" s="8" t="s">
        <v>102</v>
      </c>
      <c r="G6" s="8" t="s">
        <v>102</v>
      </c>
    </row>
    <row r="7" spans="1:10" x14ac:dyDescent="0.25">
      <c r="A7" s="8">
        <v>1</v>
      </c>
      <c r="B7" s="13">
        <v>46174</v>
      </c>
      <c r="C7" s="8" t="s">
        <v>30</v>
      </c>
      <c r="D7" s="14">
        <v>40000</v>
      </c>
      <c r="E7" s="8" t="s">
        <v>102</v>
      </c>
      <c r="F7" s="8" t="s">
        <v>102</v>
      </c>
      <c r="G7" s="8" t="s">
        <v>102</v>
      </c>
      <c r="H7" s="7">
        <f>SUM(D2:D4)</f>
        <v>150000</v>
      </c>
      <c r="I7" s="7">
        <f>SUM(E2:E4)</f>
        <v>144000</v>
      </c>
      <c r="J7" s="19">
        <v>6000</v>
      </c>
    </row>
    <row r="8" spans="1:10" x14ac:dyDescent="0.25">
      <c r="A8" s="9">
        <v>2</v>
      </c>
      <c r="B8" s="15">
        <v>46023</v>
      </c>
      <c r="C8" s="9" t="s">
        <v>26</v>
      </c>
      <c r="D8" s="16">
        <v>60000</v>
      </c>
      <c r="E8" s="16">
        <v>60000</v>
      </c>
      <c r="F8" s="9" t="s">
        <v>31</v>
      </c>
      <c r="G8" s="9" t="s">
        <v>34</v>
      </c>
    </row>
    <row r="9" spans="1:10" x14ac:dyDescent="0.25">
      <c r="A9" s="9">
        <v>2</v>
      </c>
      <c r="B9" s="15">
        <v>46054</v>
      </c>
      <c r="C9" s="9" t="s">
        <v>30</v>
      </c>
      <c r="D9" s="16">
        <v>50000</v>
      </c>
      <c r="E9" s="16">
        <v>53000</v>
      </c>
      <c r="F9" s="9" t="s">
        <v>27</v>
      </c>
      <c r="G9" s="9" t="s">
        <v>35</v>
      </c>
    </row>
    <row r="10" spans="1:10" x14ac:dyDescent="0.25">
      <c r="A10" s="9">
        <v>2</v>
      </c>
      <c r="B10" s="15">
        <v>46082</v>
      </c>
      <c r="C10" s="9" t="s">
        <v>33</v>
      </c>
      <c r="D10" s="16">
        <v>40000</v>
      </c>
      <c r="E10" s="16">
        <v>40000</v>
      </c>
      <c r="F10" s="9" t="s">
        <v>27</v>
      </c>
      <c r="G10" s="9" t="s">
        <v>36</v>
      </c>
    </row>
    <row r="11" spans="1:10" x14ac:dyDescent="0.25">
      <c r="A11" s="9">
        <v>2</v>
      </c>
      <c r="B11" s="15">
        <v>46113</v>
      </c>
      <c r="C11" s="9" t="s">
        <v>26</v>
      </c>
      <c r="D11" s="16">
        <v>55000</v>
      </c>
      <c r="E11" s="9" t="s">
        <v>102</v>
      </c>
      <c r="F11" s="9" t="s">
        <v>102</v>
      </c>
      <c r="G11" s="9" t="s">
        <v>102</v>
      </c>
    </row>
    <row r="12" spans="1:10" x14ac:dyDescent="0.25">
      <c r="A12" s="9">
        <v>2</v>
      </c>
      <c r="B12" s="15">
        <v>46143</v>
      </c>
      <c r="C12" s="9" t="s">
        <v>30</v>
      </c>
      <c r="D12" s="16">
        <v>45000</v>
      </c>
      <c r="E12" s="9" t="s">
        <v>102</v>
      </c>
      <c r="F12" s="9" t="s">
        <v>102</v>
      </c>
      <c r="G12" s="9" t="s">
        <v>102</v>
      </c>
    </row>
    <row r="13" spans="1:10" x14ac:dyDescent="0.25">
      <c r="A13" s="9">
        <v>2</v>
      </c>
      <c r="B13" s="15">
        <v>46174</v>
      </c>
      <c r="C13" s="9" t="s">
        <v>26</v>
      </c>
      <c r="D13" s="16">
        <v>60000</v>
      </c>
      <c r="E13" s="9" t="s">
        <v>102</v>
      </c>
      <c r="F13" s="9" t="s">
        <v>102</v>
      </c>
      <c r="G13" s="9" t="s">
        <v>102</v>
      </c>
    </row>
    <row r="14" spans="1:10" x14ac:dyDescent="0.25">
      <c r="A14" s="9">
        <v>2</v>
      </c>
      <c r="B14" s="15">
        <v>46229</v>
      </c>
      <c r="C14" s="9" t="s">
        <v>30</v>
      </c>
      <c r="D14" s="16">
        <v>50000</v>
      </c>
      <c r="E14" s="9" t="s">
        <v>102</v>
      </c>
      <c r="F14" s="9" t="s">
        <v>102</v>
      </c>
      <c r="G14" s="9" t="s">
        <v>102</v>
      </c>
    </row>
    <row r="15" spans="1:10" x14ac:dyDescent="0.25">
      <c r="A15" s="9">
        <v>2</v>
      </c>
      <c r="B15" s="15">
        <v>46260</v>
      </c>
      <c r="C15" s="9" t="s">
        <v>33</v>
      </c>
      <c r="D15" s="16">
        <v>40000</v>
      </c>
      <c r="E15" s="9" t="s">
        <v>102</v>
      </c>
      <c r="F15" s="9" t="s">
        <v>102</v>
      </c>
      <c r="G15" s="9" t="s">
        <v>102</v>
      </c>
      <c r="H15" s="7">
        <f>SUM(D8:D10)</f>
        <v>150000</v>
      </c>
      <c r="I15" s="7">
        <f>SUM(E8:E10)</f>
        <v>153000</v>
      </c>
      <c r="J15" s="20">
        <v>-3000</v>
      </c>
    </row>
    <row r="16" spans="1:10" x14ac:dyDescent="0.25">
      <c r="A16" s="8">
        <v>3</v>
      </c>
      <c r="B16" s="13">
        <v>46023</v>
      </c>
      <c r="C16" s="8" t="s">
        <v>26</v>
      </c>
      <c r="D16" s="14">
        <v>55000</v>
      </c>
      <c r="E16" s="14">
        <v>57000</v>
      </c>
      <c r="F16" s="8" t="s">
        <v>27</v>
      </c>
      <c r="G16" s="8" t="s">
        <v>42</v>
      </c>
    </row>
    <row r="17" spans="1:10" x14ac:dyDescent="0.25">
      <c r="A17" s="8">
        <v>3</v>
      </c>
      <c r="B17" s="13">
        <v>46054</v>
      </c>
      <c r="C17" s="8" t="s">
        <v>30</v>
      </c>
      <c r="D17" s="14">
        <v>45000</v>
      </c>
      <c r="E17" s="14">
        <v>44000</v>
      </c>
      <c r="F17" s="8" t="s">
        <v>27</v>
      </c>
      <c r="G17" s="8" t="s">
        <v>43</v>
      </c>
    </row>
    <row r="18" spans="1:10" x14ac:dyDescent="0.25">
      <c r="A18" s="8">
        <v>3</v>
      </c>
      <c r="B18" s="13">
        <v>46082</v>
      </c>
      <c r="C18" s="8" t="s">
        <v>33</v>
      </c>
      <c r="D18" s="14">
        <v>40000</v>
      </c>
      <c r="E18" s="14">
        <v>39000</v>
      </c>
      <c r="F18" s="8" t="s">
        <v>31</v>
      </c>
      <c r="G18" s="8" t="s">
        <v>44</v>
      </c>
    </row>
    <row r="19" spans="1:10" x14ac:dyDescent="0.25">
      <c r="A19" s="8">
        <v>3</v>
      </c>
      <c r="B19" s="13">
        <v>46113</v>
      </c>
      <c r="C19" s="8" t="s">
        <v>26</v>
      </c>
      <c r="D19" s="14">
        <v>50000</v>
      </c>
      <c r="E19" s="8" t="s">
        <v>102</v>
      </c>
      <c r="F19" s="8" t="s">
        <v>102</v>
      </c>
      <c r="G19" s="8" t="s">
        <v>102</v>
      </c>
      <c r="H19" s="7">
        <f>SUM(D16:D18)</f>
        <v>140000</v>
      </c>
      <c r="I19" s="7">
        <f>SUM(E16:E18)</f>
        <v>140000</v>
      </c>
      <c r="J19" s="18">
        <v>0</v>
      </c>
    </row>
    <row r="20" spans="1:10" x14ac:dyDescent="0.25">
      <c r="A20" s="10">
        <v>4</v>
      </c>
      <c r="B20" s="15">
        <v>46023</v>
      </c>
      <c r="C20" s="10" t="s">
        <v>26</v>
      </c>
      <c r="D20" s="17">
        <v>50000</v>
      </c>
      <c r="E20" s="17">
        <v>51000</v>
      </c>
      <c r="F20" s="10" t="s">
        <v>27</v>
      </c>
      <c r="G20" s="10" t="s">
        <v>37</v>
      </c>
    </row>
    <row r="21" spans="1:10" x14ac:dyDescent="0.25">
      <c r="A21" s="10">
        <v>4</v>
      </c>
      <c r="B21" s="15">
        <v>46054</v>
      </c>
      <c r="C21" s="10" t="s">
        <v>30</v>
      </c>
      <c r="D21" s="17">
        <v>42000</v>
      </c>
      <c r="E21" s="17">
        <v>43000</v>
      </c>
      <c r="F21" s="10" t="s">
        <v>27</v>
      </c>
      <c r="G21" s="10" t="s">
        <v>38</v>
      </c>
    </row>
    <row r="22" spans="1:10" x14ac:dyDescent="0.25">
      <c r="A22" s="10">
        <v>4</v>
      </c>
      <c r="B22" s="15">
        <v>46082</v>
      </c>
      <c r="C22" s="10" t="s">
        <v>33</v>
      </c>
      <c r="D22" s="17">
        <v>35000</v>
      </c>
      <c r="E22" s="17">
        <v>34000</v>
      </c>
      <c r="F22" s="10" t="s">
        <v>27</v>
      </c>
      <c r="G22" s="10" t="s">
        <v>39</v>
      </c>
    </row>
    <row r="23" spans="1:10" x14ac:dyDescent="0.25">
      <c r="A23" s="10">
        <v>4</v>
      </c>
      <c r="B23" s="15">
        <v>46113</v>
      </c>
      <c r="C23" s="10" t="s">
        <v>26</v>
      </c>
      <c r="D23" s="17">
        <v>52000</v>
      </c>
      <c r="E23" s="9" t="s">
        <v>102</v>
      </c>
      <c r="F23" s="9" t="s">
        <v>102</v>
      </c>
      <c r="G23" s="9" t="s">
        <v>102</v>
      </c>
    </row>
    <row r="24" spans="1:10" x14ac:dyDescent="0.25">
      <c r="A24" s="10">
        <v>4</v>
      </c>
      <c r="B24" s="15">
        <v>46143</v>
      </c>
      <c r="C24" s="10" t="s">
        <v>30</v>
      </c>
      <c r="D24" s="17">
        <v>43000</v>
      </c>
      <c r="E24" s="9" t="s">
        <v>102</v>
      </c>
      <c r="F24" s="9" t="s">
        <v>102</v>
      </c>
      <c r="G24" s="9" t="s">
        <v>102</v>
      </c>
    </row>
    <row r="25" spans="1:10" x14ac:dyDescent="0.25">
      <c r="A25" s="10">
        <v>4</v>
      </c>
      <c r="B25" s="15">
        <v>46174</v>
      </c>
      <c r="C25" s="10" t="s">
        <v>33</v>
      </c>
      <c r="D25" s="17">
        <v>36000</v>
      </c>
      <c r="E25" s="9" t="s">
        <v>102</v>
      </c>
      <c r="F25" s="9" t="s">
        <v>102</v>
      </c>
      <c r="G25" s="9" t="s">
        <v>102</v>
      </c>
      <c r="H25" s="7">
        <f>SUM(D20:D22)</f>
        <v>127000</v>
      </c>
      <c r="I25" s="7">
        <f>SUM(E20:E22)</f>
        <v>128000</v>
      </c>
      <c r="J25" s="20">
        <v>-1000</v>
      </c>
    </row>
    <row r="26" spans="1:10" x14ac:dyDescent="0.25">
      <c r="A26" s="11">
        <v>5</v>
      </c>
      <c r="B26" s="13">
        <v>46023</v>
      </c>
      <c r="C26" s="11" t="s">
        <v>26</v>
      </c>
      <c r="D26" s="21">
        <v>36000</v>
      </c>
      <c r="E26" s="21">
        <v>39000</v>
      </c>
      <c r="F26" s="11" t="s">
        <v>27</v>
      </c>
      <c r="G26" s="11" t="s">
        <v>40</v>
      </c>
    </row>
    <row r="27" spans="1:10" x14ac:dyDescent="0.25">
      <c r="A27" s="11">
        <v>5</v>
      </c>
      <c r="B27" s="13">
        <v>46054</v>
      </c>
      <c r="C27" s="11" t="s">
        <v>30</v>
      </c>
      <c r="D27" s="21">
        <v>25000</v>
      </c>
      <c r="E27" s="21">
        <v>27000</v>
      </c>
      <c r="F27" s="11" t="s">
        <v>27</v>
      </c>
      <c r="G27" s="11" t="s">
        <v>41</v>
      </c>
    </row>
    <row r="28" spans="1:10" x14ac:dyDescent="0.25">
      <c r="A28" s="11">
        <v>5</v>
      </c>
      <c r="B28" s="13">
        <v>46082</v>
      </c>
      <c r="C28" s="11" t="s">
        <v>33</v>
      </c>
      <c r="D28" s="21">
        <v>20000</v>
      </c>
      <c r="E28" s="21">
        <v>21000</v>
      </c>
      <c r="F28" s="11" t="s">
        <v>31</v>
      </c>
      <c r="G28" s="11" t="s">
        <v>42</v>
      </c>
    </row>
    <row r="29" spans="1:10" x14ac:dyDescent="0.25">
      <c r="A29" s="11">
        <v>5</v>
      </c>
      <c r="B29" s="13">
        <v>46113</v>
      </c>
      <c r="C29" s="11" t="s">
        <v>26</v>
      </c>
      <c r="D29" s="21">
        <v>32000</v>
      </c>
      <c r="E29" s="8" t="s">
        <v>102</v>
      </c>
      <c r="F29" s="8" t="s">
        <v>102</v>
      </c>
      <c r="G29" s="8" t="s">
        <v>102</v>
      </c>
    </row>
    <row r="30" spans="1:10" x14ac:dyDescent="0.25">
      <c r="A30" s="11">
        <v>5</v>
      </c>
      <c r="B30" s="13">
        <v>46143</v>
      </c>
      <c r="C30" s="11" t="s">
        <v>30</v>
      </c>
      <c r="D30" s="21">
        <v>27000</v>
      </c>
      <c r="E30" s="8" t="s">
        <v>102</v>
      </c>
      <c r="F30" s="8" t="s">
        <v>102</v>
      </c>
      <c r="G30" s="8" t="s">
        <v>102</v>
      </c>
    </row>
    <row r="31" spans="1:10" x14ac:dyDescent="0.25">
      <c r="A31" s="11">
        <v>5</v>
      </c>
      <c r="B31" s="13">
        <v>46174</v>
      </c>
      <c r="C31" s="11" t="s">
        <v>33</v>
      </c>
      <c r="D31" s="21">
        <v>22000</v>
      </c>
      <c r="E31" s="8" t="s">
        <v>102</v>
      </c>
      <c r="F31" s="8" t="s">
        <v>102</v>
      </c>
      <c r="G31" s="8" t="s">
        <v>102</v>
      </c>
      <c r="H31" s="7">
        <f>SUM(D26:D28)</f>
        <v>81000</v>
      </c>
      <c r="I31" s="7">
        <f>SUM(E26:E28)</f>
        <v>87000</v>
      </c>
      <c r="J31" s="20">
        <v>-6000</v>
      </c>
    </row>
    <row r="32" spans="1:10" x14ac:dyDescent="0.25">
      <c r="A32" s="22">
        <v>6</v>
      </c>
      <c r="B32" s="24">
        <v>46023</v>
      </c>
      <c r="C32" s="22" t="s">
        <v>26</v>
      </c>
      <c r="D32" s="23">
        <v>55000</v>
      </c>
      <c r="E32" s="23">
        <v>54000</v>
      </c>
      <c r="F32" s="22" t="s">
        <v>27</v>
      </c>
      <c r="G32" s="22" t="s">
        <v>43</v>
      </c>
    </row>
    <row r="33" spans="1:10" x14ac:dyDescent="0.25">
      <c r="A33" s="22">
        <v>6</v>
      </c>
      <c r="B33" s="24">
        <v>46054</v>
      </c>
      <c r="C33" s="22" t="s">
        <v>30</v>
      </c>
      <c r="D33" s="23">
        <v>50000</v>
      </c>
      <c r="E33" s="23">
        <v>51000</v>
      </c>
      <c r="F33" s="22" t="s">
        <v>27</v>
      </c>
      <c r="G33" s="22" t="s">
        <v>44</v>
      </c>
    </row>
    <row r="34" spans="1:10" x14ac:dyDescent="0.25">
      <c r="A34" s="22">
        <v>6</v>
      </c>
      <c r="B34" s="24">
        <v>46082</v>
      </c>
      <c r="C34" s="22" t="s">
        <v>33</v>
      </c>
      <c r="D34" s="23">
        <v>45000</v>
      </c>
      <c r="E34" s="23">
        <v>44000</v>
      </c>
      <c r="F34" s="22" t="s">
        <v>31</v>
      </c>
      <c r="G34" s="22" t="s">
        <v>45</v>
      </c>
    </row>
    <row r="35" spans="1:10" x14ac:dyDescent="0.25">
      <c r="A35" s="22">
        <v>6</v>
      </c>
      <c r="B35" s="24">
        <v>46113</v>
      </c>
      <c r="C35" s="22" t="s">
        <v>26</v>
      </c>
      <c r="D35" s="23">
        <v>56000</v>
      </c>
      <c r="E35" s="25" t="s">
        <v>102</v>
      </c>
      <c r="F35" s="25" t="s">
        <v>102</v>
      </c>
      <c r="G35" s="25" t="s">
        <v>102</v>
      </c>
    </row>
    <row r="36" spans="1:10" x14ac:dyDescent="0.25">
      <c r="A36" s="22">
        <v>6</v>
      </c>
      <c r="B36" s="24">
        <v>46143</v>
      </c>
      <c r="C36" s="22" t="s">
        <v>30</v>
      </c>
      <c r="D36" s="23">
        <v>51000</v>
      </c>
      <c r="E36" s="25" t="s">
        <v>102</v>
      </c>
      <c r="F36" s="25" t="s">
        <v>102</v>
      </c>
      <c r="G36" s="25" t="s">
        <v>102</v>
      </c>
    </row>
    <row r="37" spans="1:10" x14ac:dyDescent="0.25">
      <c r="A37" s="22">
        <v>6</v>
      </c>
      <c r="B37" s="24">
        <v>46174</v>
      </c>
      <c r="C37" s="22" t="s">
        <v>33</v>
      </c>
      <c r="D37" s="23">
        <v>47000</v>
      </c>
      <c r="E37" s="25" t="s">
        <v>102</v>
      </c>
      <c r="F37" s="25" t="s">
        <v>102</v>
      </c>
      <c r="G37" s="25" t="s">
        <v>102</v>
      </c>
      <c r="H37" s="7">
        <f>SUM(D32:D34)</f>
        <v>150000</v>
      </c>
      <c r="I37" s="7">
        <f>SUM(E32:E34)</f>
        <v>149000</v>
      </c>
      <c r="J37" s="19">
        <v>1000</v>
      </c>
    </row>
    <row r="38" spans="1:10" x14ac:dyDescent="0.25">
      <c r="A38" s="11">
        <v>7</v>
      </c>
      <c r="B38" s="13">
        <v>46023</v>
      </c>
      <c r="C38" s="11" t="s">
        <v>26</v>
      </c>
      <c r="D38" s="21">
        <v>60000</v>
      </c>
      <c r="E38" s="21">
        <v>62000</v>
      </c>
      <c r="F38" s="11" t="s">
        <v>27</v>
      </c>
      <c r="G38" s="11" t="s">
        <v>93</v>
      </c>
    </row>
    <row r="39" spans="1:10" x14ac:dyDescent="0.25">
      <c r="A39" s="11">
        <v>7</v>
      </c>
      <c r="B39" s="13">
        <v>46054</v>
      </c>
      <c r="C39" s="11" t="s">
        <v>30</v>
      </c>
      <c r="D39" s="21">
        <v>55000</v>
      </c>
      <c r="E39" s="21">
        <v>54000</v>
      </c>
      <c r="F39" s="11" t="s">
        <v>27</v>
      </c>
      <c r="G39" s="11" t="s">
        <v>94</v>
      </c>
    </row>
    <row r="40" spans="1:10" x14ac:dyDescent="0.25">
      <c r="A40" s="11">
        <v>7</v>
      </c>
      <c r="B40" s="13">
        <v>46082</v>
      </c>
      <c r="C40" s="11" t="s">
        <v>33</v>
      </c>
      <c r="D40" s="21">
        <v>55000</v>
      </c>
      <c r="E40" s="21">
        <v>51000</v>
      </c>
      <c r="F40" s="11" t="s">
        <v>27</v>
      </c>
      <c r="G40" s="11" t="s">
        <v>95</v>
      </c>
    </row>
    <row r="41" spans="1:10" x14ac:dyDescent="0.25">
      <c r="A41" s="11">
        <v>7</v>
      </c>
      <c r="B41" s="13">
        <v>46113</v>
      </c>
      <c r="C41" s="11" t="s">
        <v>26</v>
      </c>
      <c r="D41" s="21">
        <v>61000</v>
      </c>
      <c r="E41" s="8" t="s">
        <v>102</v>
      </c>
      <c r="F41" s="8" t="s">
        <v>102</v>
      </c>
      <c r="G41" s="8" t="s">
        <v>102</v>
      </c>
    </row>
    <row r="42" spans="1:10" x14ac:dyDescent="0.25">
      <c r="A42" s="11">
        <v>7</v>
      </c>
      <c r="B42" s="13">
        <v>46143</v>
      </c>
      <c r="C42" s="11" t="s">
        <v>30</v>
      </c>
      <c r="D42" s="21">
        <v>56000</v>
      </c>
      <c r="E42" s="8" t="s">
        <v>102</v>
      </c>
      <c r="F42" s="8" t="s">
        <v>102</v>
      </c>
      <c r="G42" s="8" t="s">
        <v>102</v>
      </c>
    </row>
    <row r="43" spans="1:10" x14ac:dyDescent="0.25">
      <c r="A43" s="11">
        <v>7</v>
      </c>
      <c r="B43" s="13">
        <v>46174</v>
      </c>
      <c r="C43" s="11" t="s">
        <v>33</v>
      </c>
      <c r="D43" s="21">
        <v>51000</v>
      </c>
      <c r="E43" s="8" t="s">
        <v>102</v>
      </c>
      <c r="F43" s="8" t="s">
        <v>102</v>
      </c>
      <c r="G43" s="8" t="s">
        <v>102</v>
      </c>
      <c r="H43" s="7">
        <f>SUM(D38:D40)</f>
        <v>170000</v>
      </c>
      <c r="I43" s="7">
        <f>SUM(E38:E40)</f>
        <v>167000</v>
      </c>
      <c r="J43" s="19">
        <v>3000</v>
      </c>
    </row>
    <row r="44" spans="1:10" x14ac:dyDescent="0.25">
      <c r="A44" s="10">
        <v>8</v>
      </c>
      <c r="B44" s="15">
        <v>46023</v>
      </c>
      <c r="C44" s="10" t="s">
        <v>26</v>
      </c>
      <c r="D44" s="17">
        <v>65000</v>
      </c>
      <c r="E44" s="17">
        <v>70000</v>
      </c>
      <c r="F44" s="10" t="s">
        <v>31</v>
      </c>
      <c r="G44" s="10" t="s">
        <v>96</v>
      </c>
    </row>
    <row r="45" spans="1:10" x14ac:dyDescent="0.25">
      <c r="A45" s="10">
        <v>8</v>
      </c>
      <c r="B45" s="15">
        <v>46054</v>
      </c>
      <c r="C45" s="10" t="s">
        <v>30</v>
      </c>
      <c r="D45" s="17">
        <v>60000</v>
      </c>
      <c r="E45" s="17">
        <v>59000</v>
      </c>
      <c r="F45" s="10" t="s">
        <v>27</v>
      </c>
      <c r="G45" s="10" t="s">
        <v>97</v>
      </c>
    </row>
    <row r="46" spans="1:10" x14ac:dyDescent="0.25">
      <c r="A46" s="10">
        <v>8</v>
      </c>
      <c r="B46" s="15">
        <v>46082</v>
      </c>
      <c r="C46" s="10" t="s">
        <v>33</v>
      </c>
      <c r="D46" s="17">
        <v>55000</v>
      </c>
      <c r="E46" s="17">
        <v>56000</v>
      </c>
      <c r="F46" s="10" t="s">
        <v>27</v>
      </c>
      <c r="G46" s="10" t="s">
        <v>98</v>
      </c>
    </row>
    <row r="47" spans="1:10" x14ac:dyDescent="0.25">
      <c r="A47" s="10">
        <v>8</v>
      </c>
      <c r="B47" s="15">
        <v>46113</v>
      </c>
      <c r="C47" s="10" t="s">
        <v>26</v>
      </c>
      <c r="D47" s="17">
        <v>67000</v>
      </c>
      <c r="E47" s="9" t="s">
        <v>102</v>
      </c>
      <c r="F47" s="9" t="s">
        <v>102</v>
      </c>
      <c r="G47" s="9" t="s">
        <v>102</v>
      </c>
    </row>
    <row r="48" spans="1:10" x14ac:dyDescent="0.25">
      <c r="A48" s="10">
        <v>8</v>
      </c>
      <c r="B48" s="15">
        <v>46143</v>
      </c>
      <c r="C48" s="10" t="s">
        <v>30</v>
      </c>
      <c r="D48" s="17">
        <v>62000</v>
      </c>
      <c r="E48" s="9" t="s">
        <v>102</v>
      </c>
      <c r="F48" s="9" t="s">
        <v>102</v>
      </c>
      <c r="G48" s="9" t="s">
        <v>102</v>
      </c>
    </row>
    <row r="49" spans="1:10" x14ac:dyDescent="0.25">
      <c r="A49" s="10">
        <v>8</v>
      </c>
      <c r="B49" s="15">
        <v>46174</v>
      </c>
      <c r="C49" s="10" t="s">
        <v>33</v>
      </c>
      <c r="D49" s="17">
        <v>57000</v>
      </c>
      <c r="E49" s="9" t="s">
        <v>102</v>
      </c>
      <c r="F49" s="9" t="s">
        <v>102</v>
      </c>
      <c r="G49" s="9" t="s">
        <v>102</v>
      </c>
      <c r="H49" s="7">
        <f>SUM(D44:D46)</f>
        <v>180000</v>
      </c>
      <c r="I49" s="7">
        <f>SUM(E44:E46)</f>
        <v>185000</v>
      </c>
      <c r="J49" s="20">
        <v>-5000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7A82-6A27-4A9C-8040-BA4B5A957599}">
  <dimension ref="A1:N48"/>
  <sheetViews>
    <sheetView zoomScale="85" zoomScaleNormal="85" workbookViewId="0">
      <selection activeCell="C1" sqref="C1"/>
    </sheetView>
  </sheetViews>
  <sheetFormatPr defaultRowHeight="15" x14ac:dyDescent="0.25"/>
  <cols>
    <col min="1" max="1" width="9.140625" style="12"/>
    <col min="2" max="2" width="15" style="12" customWidth="1"/>
    <col min="3" max="3" width="16.7109375" style="12" customWidth="1"/>
    <col min="4" max="4" width="14.7109375" style="12" customWidth="1"/>
    <col min="5" max="5" width="13.28515625" style="12" customWidth="1"/>
    <col min="6" max="6" width="15.28515625" style="12" customWidth="1"/>
    <col min="7" max="8" width="9.140625" style="12"/>
    <col min="9" max="9" width="12" style="12" customWidth="1"/>
    <col min="10" max="10" width="13.85546875" style="12" customWidth="1"/>
    <col min="11" max="11" width="12" style="12" customWidth="1"/>
    <col min="12" max="12" width="12.42578125" style="12" customWidth="1"/>
    <col min="13" max="14" width="9.140625" style="12"/>
    <col min="15" max="15" width="13.85546875" customWidth="1"/>
    <col min="16" max="16" width="12.42578125" customWidth="1"/>
  </cols>
  <sheetData>
    <row r="1" spans="1:7" ht="30" x14ac:dyDescent="0.25">
      <c r="A1" s="1" t="s">
        <v>0</v>
      </c>
      <c r="B1" s="1" t="s">
        <v>46</v>
      </c>
      <c r="C1" s="1" t="s">
        <v>99</v>
      </c>
      <c r="D1" s="1" t="s">
        <v>100</v>
      </c>
      <c r="E1" s="1" t="s">
        <v>47</v>
      </c>
      <c r="F1" s="1" t="s">
        <v>48</v>
      </c>
    </row>
    <row r="2" spans="1:7" x14ac:dyDescent="0.25">
      <c r="A2" s="8">
        <v>1</v>
      </c>
      <c r="B2" s="13">
        <v>46023</v>
      </c>
      <c r="C2" s="8">
        <v>20</v>
      </c>
      <c r="D2" s="8">
        <v>22</v>
      </c>
      <c r="E2" s="8" t="s">
        <v>49</v>
      </c>
      <c r="F2" s="8" t="s">
        <v>50</v>
      </c>
    </row>
    <row r="3" spans="1:7" x14ac:dyDescent="0.25">
      <c r="A3" s="8">
        <v>1</v>
      </c>
      <c r="B3" s="13">
        <v>46054</v>
      </c>
      <c r="C3" s="8">
        <v>35</v>
      </c>
      <c r="D3" s="8">
        <v>30</v>
      </c>
      <c r="E3" s="8" t="s">
        <v>51</v>
      </c>
      <c r="F3" s="8" t="s">
        <v>52</v>
      </c>
    </row>
    <row r="4" spans="1:7" x14ac:dyDescent="0.25">
      <c r="A4" s="8">
        <v>1</v>
      </c>
      <c r="B4" s="13">
        <v>46082</v>
      </c>
      <c r="C4" s="8">
        <v>45</v>
      </c>
      <c r="D4" s="8">
        <v>41</v>
      </c>
      <c r="E4" s="8" t="s">
        <v>51</v>
      </c>
      <c r="F4" s="8" t="s">
        <v>50</v>
      </c>
      <c r="G4" s="20">
        <v>-4</v>
      </c>
    </row>
    <row r="5" spans="1:7" x14ac:dyDescent="0.25">
      <c r="A5" s="8">
        <v>1</v>
      </c>
      <c r="B5" s="13">
        <v>46113</v>
      </c>
      <c r="C5" s="8">
        <v>60</v>
      </c>
      <c r="D5" s="8" t="s">
        <v>102</v>
      </c>
      <c r="E5" s="8" t="s">
        <v>53</v>
      </c>
      <c r="F5" s="8" t="s">
        <v>102</v>
      </c>
    </row>
    <row r="6" spans="1:7" x14ac:dyDescent="0.25">
      <c r="A6" s="8">
        <v>1</v>
      </c>
      <c r="B6" s="13">
        <v>46143</v>
      </c>
      <c r="C6" s="8">
        <v>80</v>
      </c>
      <c r="D6" s="8" t="s">
        <v>102</v>
      </c>
      <c r="E6" s="8" t="s">
        <v>53</v>
      </c>
      <c r="F6" s="8" t="s">
        <v>102</v>
      </c>
    </row>
    <row r="7" spans="1:7" x14ac:dyDescent="0.25">
      <c r="A7" s="8">
        <v>1</v>
      </c>
      <c r="B7" s="13">
        <v>46174</v>
      </c>
      <c r="C7" s="8">
        <v>100</v>
      </c>
      <c r="D7" s="8" t="s">
        <v>102</v>
      </c>
      <c r="E7" s="8" t="s">
        <v>55</v>
      </c>
      <c r="F7" s="8" t="s">
        <v>102</v>
      </c>
    </row>
    <row r="8" spans="1:7" x14ac:dyDescent="0.25">
      <c r="A8" s="9">
        <v>2</v>
      </c>
      <c r="B8" s="15">
        <v>46023</v>
      </c>
      <c r="C8" s="9">
        <v>15</v>
      </c>
      <c r="D8" s="9">
        <v>18</v>
      </c>
      <c r="E8" s="9" t="s">
        <v>49</v>
      </c>
      <c r="F8" s="9" t="s">
        <v>50</v>
      </c>
    </row>
    <row r="9" spans="1:7" x14ac:dyDescent="0.25">
      <c r="A9" s="9">
        <v>2</v>
      </c>
      <c r="B9" s="15">
        <v>46054</v>
      </c>
      <c r="C9" s="9">
        <v>25</v>
      </c>
      <c r="D9" s="9">
        <v>28</v>
      </c>
      <c r="E9" s="9" t="s">
        <v>49</v>
      </c>
      <c r="F9" s="9" t="s">
        <v>50</v>
      </c>
    </row>
    <row r="10" spans="1:7" x14ac:dyDescent="0.25">
      <c r="A10" s="9">
        <v>2</v>
      </c>
      <c r="B10" s="15">
        <v>46082</v>
      </c>
      <c r="C10" s="9">
        <v>35</v>
      </c>
      <c r="D10" s="9">
        <v>35</v>
      </c>
      <c r="E10" s="9" t="s">
        <v>51</v>
      </c>
      <c r="F10" s="9" t="s">
        <v>52</v>
      </c>
      <c r="G10" s="18">
        <v>0</v>
      </c>
    </row>
    <row r="11" spans="1:7" x14ac:dyDescent="0.25">
      <c r="A11" s="9">
        <v>2</v>
      </c>
      <c r="B11" s="15">
        <v>46113</v>
      </c>
      <c r="C11" s="9">
        <v>50</v>
      </c>
      <c r="D11" s="9" t="s">
        <v>102</v>
      </c>
      <c r="E11" s="9" t="s">
        <v>51</v>
      </c>
      <c r="F11" s="9" t="s">
        <v>102</v>
      </c>
    </row>
    <row r="12" spans="1:7" x14ac:dyDescent="0.25">
      <c r="A12" s="9">
        <v>2</v>
      </c>
      <c r="B12" s="15">
        <v>46143</v>
      </c>
      <c r="C12" s="9">
        <v>65</v>
      </c>
      <c r="D12" s="9" t="s">
        <v>102</v>
      </c>
      <c r="E12" s="9" t="s">
        <v>51</v>
      </c>
      <c r="F12" s="9" t="s">
        <v>102</v>
      </c>
    </row>
    <row r="13" spans="1:7" x14ac:dyDescent="0.25">
      <c r="A13" s="9">
        <v>2</v>
      </c>
      <c r="B13" s="15">
        <v>46174</v>
      </c>
      <c r="C13" s="9">
        <v>80</v>
      </c>
      <c r="D13" s="9" t="s">
        <v>102</v>
      </c>
      <c r="E13" s="9" t="s">
        <v>53</v>
      </c>
      <c r="F13" s="9" t="s">
        <v>102</v>
      </c>
    </row>
    <row r="14" spans="1:7" x14ac:dyDescent="0.25">
      <c r="A14" s="9">
        <v>2</v>
      </c>
      <c r="B14" s="15">
        <v>46229</v>
      </c>
      <c r="C14" s="9">
        <v>90</v>
      </c>
      <c r="D14" s="9" t="s">
        <v>102</v>
      </c>
      <c r="E14" s="9" t="s">
        <v>53</v>
      </c>
      <c r="F14" s="9" t="s">
        <v>102</v>
      </c>
    </row>
    <row r="15" spans="1:7" x14ac:dyDescent="0.25">
      <c r="A15" s="9">
        <v>2</v>
      </c>
      <c r="B15" s="15">
        <v>46260</v>
      </c>
      <c r="C15" s="9">
        <v>100</v>
      </c>
      <c r="D15" s="9" t="s">
        <v>102</v>
      </c>
      <c r="E15" s="9" t="s">
        <v>55</v>
      </c>
      <c r="F15" s="9" t="s">
        <v>102</v>
      </c>
    </row>
    <row r="16" spans="1:7" x14ac:dyDescent="0.25">
      <c r="A16" s="8">
        <v>3</v>
      </c>
      <c r="B16" s="13">
        <v>46023</v>
      </c>
      <c r="C16" s="8">
        <v>20</v>
      </c>
      <c r="D16" s="8">
        <v>25</v>
      </c>
      <c r="E16" s="8" t="s">
        <v>49</v>
      </c>
      <c r="F16" s="8" t="s">
        <v>50</v>
      </c>
    </row>
    <row r="17" spans="1:7" x14ac:dyDescent="0.25">
      <c r="A17" s="8">
        <v>3</v>
      </c>
      <c r="B17" s="13">
        <v>46054</v>
      </c>
      <c r="C17" s="8">
        <v>40</v>
      </c>
      <c r="D17" s="8">
        <v>40</v>
      </c>
      <c r="E17" s="8" t="s">
        <v>51</v>
      </c>
      <c r="F17" s="8" t="s">
        <v>52</v>
      </c>
    </row>
    <row r="18" spans="1:7" x14ac:dyDescent="0.25">
      <c r="A18" s="8">
        <v>3</v>
      </c>
      <c r="B18" s="13">
        <v>46082</v>
      </c>
      <c r="C18" s="8">
        <v>60</v>
      </c>
      <c r="D18" s="8">
        <v>65</v>
      </c>
      <c r="E18" s="8" t="s">
        <v>53</v>
      </c>
      <c r="F18" s="8" t="s">
        <v>102</v>
      </c>
      <c r="G18" s="19">
        <v>5</v>
      </c>
    </row>
    <row r="19" spans="1:7" x14ac:dyDescent="0.25">
      <c r="A19" s="8">
        <v>3</v>
      </c>
      <c r="B19" s="13">
        <v>46113</v>
      </c>
      <c r="C19" s="8">
        <v>100</v>
      </c>
      <c r="D19" s="8" t="s">
        <v>102</v>
      </c>
      <c r="E19" s="8" t="s">
        <v>55</v>
      </c>
      <c r="F19" s="8" t="s">
        <v>102</v>
      </c>
    </row>
    <row r="20" spans="1:7" x14ac:dyDescent="0.25">
      <c r="A20" s="10">
        <v>4</v>
      </c>
      <c r="B20" s="15">
        <v>46023</v>
      </c>
      <c r="C20" s="10">
        <v>10</v>
      </c>
      <c r="D20" s="10">
        <v>10</v>
      </c>
      <c r="E20" s="10" t="s">
        <v>49</v>
      </c>
      <c r="F20" s="10" t="s">
        <v>50</v>
      </c>
    </row>
    <row r="21" spans="1:7" x14ac:dyDescent="0.25">
      <c r="A21" s="10">
        <v>4</v>
      </c>
      <c r="B21" s="15">
        <v>46054</v>
      </c>
      <c r="C21" s="10">
        <v>25</v>
      </c>
      <c r="D21" s="10">
        <v>20</v>
      </c>
      <c r="E21" s="10" t="s">
        <v>51</v>
      </c>
      <c r="F21" s="10" t="s">
        <v>52</v>
      </c>
    </row>
    <row r="22" spans="1:7" x14ac:dyDescent="0.25">
      <c r="A22" s="10">
        <v>4</v>
      </c>
      <c r="B22" s="15">
        <v>46082</v>
      </c>
      <c r="C22" s="10">
        <v>35</v>
      </c>
      <c r="D22" s="10">
        <v>35</v>
      </c>
      <c r="E22" s="10" t="s">
        <v>51</v>
      </c>
      <c r="F22" s="10" t="s">
        <v>50</v>
      </c>
    </row>
    <row r="23" spans="1:7" x14ac:dyDescent="0.25">
      <c r="A23" s="10">
        <v>4</v>
      </c>
      <c r="B23" s="15">
        <v>46113</v>
      </c>
      <c r="C23" s="10">
        <v>50</v>
      </c>
      <c r="D23" s="10">
        <v>48</v>
      </c>
      <c r="E23" s="10" t="s">
        <v>53</v>
      </c>
      <c r="F23" s="10" t="s">
        <v>54</v>
      </c>
      <c r="G23" s="20">
        <v>-2</v>
      </c>
    </row>
    <row r="24" spans="1:7" x14ac:dyDescent="0.25">
      <c r="A24" s="10">
        <v>4</v>
      </c>
      <c r="B24" s="15">
        <v>46143</v>
      </c>
      <c r="C24" s="10">
        <v>70</v>
      </c>
      <c r="D24" s="9" t="s">
        <v>102</v>
      </c>
      <c r="E24" s="10" t="s">
        <v>53</v>
      </c>
      <c r="F24" s="9" t="s">
        <v>102</v>
      </c>
    </row>
    <row r="25" spans="1:7" x14ac:dyDescent="0.25">
      <c r="A25" s="10">
        <v>4</v>
      </c>
      <c r="B25" s="15">
        <v>46174</v>
      </c>
      <c r="C25" s="10">
        <v>90</v>
      </c>
      <c r="D25" s="9" t="s">
        <v>102</v>
      </c>
      <c r="E25" s="10" t="s">
        <v>53</v>
      </c>
      <c r="F25" s="9" t="s">
        <v>102</v>
      </c>
    </row>
    <row r="26" spans="1:7" x14ac:dyDescent="0.25">
      <c r="A26" s="10">
        <v>4</v>
      </c>
      <c r="B26" s="15">
        <v>46229</v>
      </c>
      <c r="C26" s="10">
        <v>100</v>
      </c>
      <c r="D26" s="9" t="s">
        <v>102</v>
      </c>
      <c r="E26" s="10" t="s">
        <v>55</v>
      </c>
      <c r="F26" s="9" t="s">
        <v>102</v>
      </c>
    </row>
    <row r="27" spans="1:7" x14ac:dyDescent="0.25">
      <c r="A27" s="11">
        <v>5</v>
      </c>
      <c r="B27" s="13">
        <v>46023</v>
      </c>
      <c r="C27" s="11">
        <v>20</v>
      </c>
      <c r="D27" s="11">
        <v>20</v>
      </c>
      <c r="E27" s="11" t="s">
        <v>49</v>
      </c>
      <c r="F27" s="11" t="s">
        <v>50</v>
      </c>
    </row>
    <row r="28" spans="1:7" x14ac:dyDescent="0.25">
      <c r="A28" s="11">
        <v>5</v>
      </c>
      <c r="B28" s="13">
        <v>46054</v>
      </c>
      <c r="C28" s="11">
        <v>30</v>
      </c>
      <c r="D28" s="11">
        <v>30</v>
      </c>
      <c r="E28" s="11" t="s">
        <v>51</v>
      </c>
      <c r="F28" s="11" t="s">
        <v>52</v>
      </c>
    </row>
    <row r="29" spans="1:7" x14ac:dyDescent="0.25">
      <c r="A29" s="11">
        <v>5</v>
      </c>
      <c r="B29" s="13">
        <v>46082</v>
      </c>
      <c r="C29" s="11">
        <v>45</v>
      </c>
      <c r="D29" s="11">
        <v>38</v>
      </c>
      <c r="E29" s="11" t="s">
        <v>51</v>
      </c>
      <c r="F29" s="11" t="s">
        <v>50</v>
      </c>
      <c r="G29" s="20">
        <v>-7</v>
      </c>
    </row>
    <row r="30" spans="1:7" x14ac:dyDescent="0.25">
      <c r="A30" s="11">
        <v>5</v>
      </c>
      <c r="B30" s="13">
        <v>46113</v>
      </c>
      <c r="C30" s="11">
        <v>65</v>
      </c>
      <c r="D30" s="8" t="s">
        <v>102</v>
      </c>
      <c r="E30" s="11" t="s">
        <v>53</v>
      </c>
      <c r="F30" s="8" t="s">
        <v>102</v>
      </c>
    </row>
    <row r="31" spans="1:7" x14ac:dyDescent="0.25">
      <c r="A31" s="11">
        <v>5</v>
      </c>
      <c r="B31" s="13">
        <v>46143</v>
      </c>
      <c r="C31" s="11">
        <v>80</v>
      </c>
      <c r="D31" s="8" t="s">
        <v>102</v>
      </c>
      <c r="E31" s="11" t="s">
        <v>53</v>
      </c>
      <c r="F31" s="8" t="s">
        <v>102</v>
      </c>
    </row>
    <row r="32" spans="1:7" x14ac:dyDescent="0.25">
      <c r="A32" s="11">
        <v>5</v>
      </c>
      <c r="B32" s="13">
        <v>46174</v>
      </c>
      <c r="C32" s="11">
        <v>100</v>
      </c>
      <c r="D32" s="8" t="s">
        <v>102</v>
      </c>
      <c r="E32" s="11" t="s">
        <v>55</v>
      </c>
      <c r="F32" s="8" t="s">
        <v>102</v>
      </c>
    </row>
    <row r="33" spans="1:7" x14ac:dyDescent="0.25">
      <c r="A33" s="10">
        <v>6</v>
      </c>
      <c r="B33" s="15">
        <v>46023</v>
      </c>
      <c r="C33" s="10">
        <v>15</v>
      </c>
      <c r="D33" s="10">
        <v>18</v>
      </c>
      <c r="E33" s="10" t="s">
        <v>49</v>
      </c>
      <c r="F33" s="10" t="s">
        <v>50</v>
      </c>
    </row>
    <row r="34" spans="1:7" x14ac:dyDescent="0.25">
      <c r="A34" s="10">
        <v>6</v>
      </c>
      <c r="B34" s="15">
        <v>46054</v>
      </c>
      <c r="C34" s="10">
        <v>35</v>
      </c>
      <c r="D34" s="10">
        <v>35</v>
      </c>
      <c r="E34" s="10" t="s">
        <v>51</v>
      </c>
      <c r="F34" s="10" t="s">
        <v>50</v>
      </c>
    </row>
    <row r="35" spans="1:7" x14ac:dyDescent="0.25">
      <c r="A35" s="10">
        <v>6</v>
      </c>
      <c r="B35" s="15">
        <v>46082</v>
      </c>
      <c r="C35" s="10">
        <v>60</v>
      </c>
      <c r="D35" s="10">
        <v>67</v>
      </c>
      <c r="E35" s="10" t="s">
        <v>53</v>
      </c>
      <c r="F35" s="10" t="s">
        <v>50</v>
      </c>
      <c r="G35" s="19">
        <v>7</v>
      </c>
    </row>
    <row r="36" spans="1:7" x14ac:dyDescent="0.25">
      <c r="A36" s="10">
        <v>6</v>
      </c>
      <c r="B36" s="15">
        <v>46113</v>
      </c>
      <c r="C36" s="10">
        <v>85</v>
      </c>
      <c r="D36" s="9" t="s">
        <v>102</v>
      </c>
      <c r="E36" s="10" t="s">
        <v>53</v>
      </c>
      <c r="F36" s="9" t="s">
        <v>102</v>
      </c>
    </row>
    <row r="37" spans="1:7" x14ac:dyDescent="0.25">
      <c r="A37" s="10">
        <v>6</v>
      </c>
      <c r="B37" s="15">
        <v>46143</v>
      </c>
      <c r="C37" s="10">
        <v>100</v>
      </c>
      <c r="D37" s="9" t="s">
        <v>102</v>
      </c>
      <c r="E37" s="10" t="s">
        <v>55</v>
      </c>
      <c r="F37" s="9" t="s">
        <v>102</v>
      </c>
    </row>
    <row r="38" spans="1:7" x14ac:dyDescent="0.25">
      <c r="A38" s="11">
        <v>7</v>
      </c>
      <c r="B38" s="13">
        <v>46023</v>
      </c>
      <c r="C38" s="11">
        <v>10</v>
      </c>
      <c r="D38" s="11">
        <v>12</v>
      </c>
      <c r="E38" s="11" t="s">
        <v>49</v>
      </c>
      <c r="F38" s="11" t="s">
        <v>50</v>
      </c>
    </row>
    <row r="39" spans="1:7" x14ac:dyDescent="0.25">
      <c r="A39" s="11">
        <v>7</v>
      </c>
      <c r="B39" s="13">
        <v>46054</v>
      </c>
      <c r="C39" s="11">
        <v>30</v>
      </c>
      <c r="D39" s="11">
        <v>28</v>
      </c>
      <c r="E39" s="11" t="s">
        <v>51</v>
      </c>
      <c r="F39" s="11" t="s">
        <v>52</v>
      </c>
    </row>
    <row r="40" spans="1:7" x14ac:dyDescent="0.25">
      <c r="A40" s="11">
        <v>7</v>
      </c>
      <c r="B40" s="13">
        <v>46082</v>
      </c>
      <c r="C40" s="11">
        <v>50</v>
      </c>
      <c r="D40" s="11">
        <v>47</v>
      </c>
      <c r="E40" s="11" t="s">
        <v>51</v>
      </c>
      <c r="F40" s="11" t="s">
        <v>50</v>
      </c>
    </row>
    <row r="41" spans="1:7" x14ac:dyDescent="0.25">
      <c r="A41" s="11">
        <v>7</v>
      </c>
      <c r="B41" s="13">
        <v>46113</v>
      </c>
      <c r="C41" s="11">
        <v>70</v>
      </c>
      <c r="D41" s="8" t="s">
        <v>102</v>
      </c>
      <c r="E41" s="11" t="s">
        <v>53</v>
      </c>
      <c r="F41" s="8" t="s">
        <v>102</v>
      </c>
      <c r="G41" s="20">
        <v>-3</v>
      </c>
    </row>
    <row r="42" spans="1:7" x14ac:dyDescent="0.25">
      <c r="A42" s="11">
        <v>7</v>
      </c>
      <c r="B42" s="13">
        <v>46143</v>
      </c>
      <c r="C42" s="11">
        <v>90</v>
      </c>
      <c r="D42" s="8" t="s">
        <v>102</v>
      </c>
      <c r="E42" s="11" t="s">
        <v>53</v>
      </c>
      <c r="F42" s="8" t="s">
        <v>102</v>
      </c>
    </row>
    <row r="43" spans="1:7" x14ac:dyDescent="0.25">
      <c r="A43" s="11">
        <v>7</v>
      </c>
      <c r="B43" s="13">
        <v>46174</v>
      </c>
      <c r="C43" s="11">
        <v>100</v>
      </c>
      <c r="D43" s="8" t="s">
        <v>102</v>
      </c>
      <c r="E43" s="11" t="s">
        <v>55</v>
      </c>
      <c r="F43" s="8" t="s">
        <v>102</v>
      </c>
    </row>
    <row r="44" spans="1:7" x14ac:dyDescent="0.25">
      <c r="A44" s="10">
        <v>8</v>
      </c>
      <c r="B44" s="15">
        <v>46023</v>
      </c>
      <c r="C44" s="10">
        <v>20</v>
      </c>
      <c r="D44" s="10">
        <v>21</v>
      </c>
      <c r="E44" s="10" t="s">
        <v>49</v>
      </c>
      <c r="F44" s="10" t="s">
        <v>50</v>
      </c>
    </row>
    <row r="45" spans="1:7" x14ac:dyDescent="0.25">
      <c r="A45" s="10">
        <v>8</v>
      </c>
      <c r="B45" s="15">
        <v>46054</v>
      </c>
      <c r="C45" s="10">
        <v>40</v>
      </c>
      <c r="D45" s="10">
        <v>36</v>
      </c>
      <c r="E45" s="10" t="s">
        <v>51</v>
      </c>
      <c r="F45" s="10" t="s">
        <v>52</v>
      </c>
    </row>
    <row r="46" spans="1:7" x14ac:dyDescent="0.25">
      <c r="A46" s="10">
        <v>8</v>
      </c>
      <c r="B46" s="15">
        <v>46082</v>
      </c>
      <c r="C46" s="10">
        <v>60</v>
      </c>
      <c r="D46" s="10">
        <v>62</v>
      </c>
      <c r="E46" s="10" t="s">
        <v>53</v>
      </c>
      <c r="F46" s="10" t="s">
        <v>50</v>
      </c>
      <c r="G46" s="19">
        <v>2</v>
      </c>
    </row>
    <row r="47" spans="1:7" x14ac:dyDescent="0.25">
      <c r="A47" s="10">
        <v>8</v>
      </c>
      <c r="B47" s="15">
        <v>46113</v>
      </c>
      <c r="C47" s="10">
        <v>80</v>
      </c>
      <c r="D47" s="9" t="s">
        <v>102</v>
      </c>
      <c r="E47" s="10" t="s">
        <v>53</v>
      </c>
      <c r="F47" s="9" t="s">
        <v>102</v>
      </c>
    </row>
    <row r="48" spans="1:7" x14ac:dyDescent="0.25">
      <c r="A48" s="10">
        <v>8</v>
      </c>
      <c r="B48" s="15">
        <v>46143</v>
      </c>
      <c r="C48" s="10">
        <v>100</v>
      </c>
      <c r="D48" s="9" t="s">
        <v>102</v>
      </c>
      <c r="E48" s="10" t="s">
        <v>55</v>
      </c>
      <c r="F48" s="9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066D-F93C-428C-9748-BF4A1054568F}">
  <dimension ref="A1:E48"/>
  <sheetViews>
    <sheetView topLeftCell="A12" zoomScale="85" zoomScaleNormal="85" workbookViewId="0">
      <selection sqref="A1:E48"/>
    </sheetView>
  </sheetViews>
  <sheetFormatPr defaultRowHeight="15" x14ac:dyDescent="0.25"/>
  <cols>
    <col min="1" max="1" width="9.140625" style="12"/>
    <col min="2" max="2" width="13" style="12" customWidth="1"/>
    <col min="3" max="3" width="14.140625" style="12" customWidth="1"/>
    <col min="4" max="4" width="14.28515625" style="12" customWidth="1"/>
    <col min="5" max="5" width="12.85546875" style="12" customWidth="1"/>
    <col min="11" max="11" width="15.42578125" customWidth="1"/>
    <col min="12" max="12" width="14" customWidth="1"/>
  </cols>
  <sheetData>
    <row r="1" spans="1:5" ht="30" x14ac:dyDescent="0.2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25">
      <c r="A2" s="8">
        <v>1</v>
      </c>
      <c r="B2" s="13">
        <v>46023</v>
      </c>
      <c r="C2" s="8">
        <v>400</v>
      </c>
      <c r="D2" s="8">
        <v>420</v>
      </c>
      <c r="E2" s="8" t="s">
        <v>60</v>
      </c>
    </row>
    <row r="3" spans="1:5" x14ac:dyDescent="0.25">
      <c r="A3" s="8">
        <v>1</v>
      </c>
      <c r="B3" s="13">
        <v>46054</v>
      </c>
      <c r="C3" s="8">
        <v>450</v>
      </c>
      <c r="D3" s="8">
        <v>460</v>
      </c>
      <c r="E3" s="8" t="s">
        <v>60</v>
      </c>
    </row>
    <row r="4" spans="1:5" x14ac:dyDescent="0.25">
      <c r="A4" s="8">
        <v>1</v>
      </c>
      <c r="B4" s="13">
        <v>46082</v>
      </c>
      <c r="C4" s="8">
        <v>500</v>
      </c>
      <c r="D4" s="8">
        <v>520</v>
      </c>
      <c r="E4" s="8" t="s">
        <v>14</v>
      </c>
    </row>
    <row r="5" spans="1:5" x14ac:dyDescent="0.25">
      <c r="A5" s="8">
        <v>1</v>
      </c>
      <c r="B5" s="13">
        <v>46113</v>
      </c>
      <c r="C5" s="8">
        <v>550</v>
      </c>
      <c r="D5" s="8" t="s">
        <v>102</v>
      </c>
      <c r="E5" s="11" t="s">
        <v>75</v>
      </c>
    </row>
    <row r="6" spans="1:5" x14ac:dyDescent="0.25">
      <c r="A6" s="8">
        <v>1</v>
      </c>
      <c r="B6" s="13">
        <v>46143</v>
      </c>
      <c r="C6" s="8">
        <v>500</v>
      </c>
      <c r="D6" s="8" t="s">
        <v>102</v>
      </c>
      <c r="E6" s="11" t="s">
        <v>79</v>
      </c>
    </row>
    <row r="7" spans="1:5" x14ac:dyDescent="0.25">
      <c r="A7" s="8">
        <v>1</v>
      </c>
      <c r="B7" s="13">
        <v>46174</v>
      </c>
      <c r="C7" s="8">
        <v>450</v>
      </c>
      <c r="D7" s="8" t="s">
        <v>102</v>
      </c>
      <c r="E7" s="11" t="s">
        <v>84</v>
      </c>
    </row>
    <row r="8" spans="1:5" x14ac:dyDescent="0.25">
      <c r="A8" s="25">
        <v>2</v>
      </c>
      <c r="B8" s="24">
        <v>46023</v>
      </c>
      <c r="C8" s="25">
        <v>300</v>
      </c>
      <c r="D8" s="25">
        <v>320</v>
      </c>
      <c r="E8" s="25" t="s">
        <v>60</v>
      </c>
    </row>
    <row r="9" spans="1:5" x14ac:dyDescent="0.25">
      <c r="A9" s="25">
        <v>2</v>
      </c>
      <c r="B9" s="24">
        <v>46054</v>
      </c>
      <c r="C9" s="25">
        <v>350</v>
      </c>
      <c r="D9" s="25">
        <v>340</v>
      </c>
      <c r="E9" s="25" t="s">
        <v>60</v>
      </c>
    </row>
    <row r="10" spans="1:5" x14ac:dyDescent="0.25">
      <c r="A10" s="25">
        <v>2</v>
      </c>
      <c r="B10" s="24">
        <v>46082</v>
      </c>
      <c r="C10" s="25">
        <v>400</v>
      </c>
      <c r="D10" s="25">
        <v>390</v>
      </c>
      <c r="E10" s="25" t="s">
        <v>14</v>
      </c>
    </row>
    <row r="11" spans="1:5" x14ac:dyDescent="0.25">
      <c r="A11" s="25">
        <v>2</v>
      </c>
      <c r="B11" s="24">
        <v>46113</v>
      </c>
      <c r="C11" s="25">
        <v>450</v>
      </c>
      <c r="D11" s="25" t="s">
        <v>102</v>
      </c>
      <c r="E11" s="25" t="s">
        <v>14</v>
      </c>
    </row>
    <row r="12" spans="1:5" x14ac:dyDescent="0.25">
      <c r="A12" s="25">
        <v>2</v>
      </c>
      <c r="B12" s="24">
        <v>46143</v>
      </c>
      <c r="C12" s="25">
        <v>500</v>
      </c>
      <c r="D12" s="25" t="s">
        <v>102</v>
      </c>
      <c r="E12" s="22" t="s">
        <v>75</v>
      </c>
    </row>
    <row r="13" spans="1:5" x14ac:dyDescent="0.25">
      <c r="A13" s="25">
        <v>2</v>
      </c>
      <c r="B13" s="24">
        <v>46174</v>
      </c>
      <c r="C13" s="25">
        <v>350</v>
      </c>
      <c r="D13" s="25" t="s">
        <v>102</v>
      </c>
      <c r="E13" s="22" t="s">
        <v>84</v>
      </c>
    </row>
    <row r="14" spans="1:5" x14ac:dyDescent="0.25">
      <c r="A14" s="25">
        <v>2</v>
      </c>
      <c r="B14" s="24">
        <v>46229</v>
      </c>
      <c r="C14" s="25">
        <v>400</v>
      </c>
      <c r="D14" s="25" t="s">
        <v>102</v>
      </c>
      <c r="E14" s="22" t="s">
        <v>84</v>
      </c>
    </row>
    <row r="15" spans="1:5" x14ac:dyDescent="0.25">
      <c r="A15" s="25">
        <v>2</v>
      </c>
      <c r="B15" s="24">
        <v>46260</v>
      </c>
      <c r="C15" s="25">
        <v>450</v>
      </c>
      <c r="D15" s="25" t="s">
        <v>102</v>
      </c>
      <c r="E15" s="22" t="s">
        <v>79</v>
      </c>
    </row>
    <row r="16" spans="1:5" x14ac:dyDescent="0.25">
      <c r="A16" s="8">
        <v>3</v>
      </c>
      <c r="B16" s="13">
        <v>46023</v>
      </c>
      <c r="C16" s="8">
        <v>300</v>
      </c>
      <c r="D16" s="8">
        <v>310</v>
      </c>
      <c r="E16" s="8" t="s">
        <v>60</v>
      </c>
    </row>
    <row r="17" spans="1:5" x14ac:dyDescent="0.25">
      <c r="A17" s="8">
        <v>3</v>
      </c>
      <c r="B17" s="13">
        <v>46054</v>
      </c>
      <c r="C17" s="8">
        <v>400</v>
      </c>
      <c r="D17" s="8">
        <v>390</v>
      </c>
      <c r="E17" s="8" t="s">
        <v>14</v>
      </c>
    </row>
    <row r="18" spans="1:5" x14ac:dyDescent="0.25">
      <c r="A18" s="8">
        <v>3</v>
      </c>
      <c r="B18" s="13">
        <v>46082</v>
      </c>
      <c r="C18" s="8">
        <v>500</v>
      </c>
      <c r="D18" s="8">
        <v>520</v>
      </c>
      <c r="E18" s="11" t="s">
        <v>75</v>
      </c>
    </row>
    <row r="19" spans="1:5" x14ac:dyDescent="0.25">
      <c r="A19" s="8">
        <v>3</v>
      </c>
      <c r="B19" s="13">
        <v>46113</v>
      </c>
      <c r="C19" s="8">
        <v>450</v>
      </c>
      <c r="D19" s="8" t="s">
        <v>102</v>
      </c>
      <c r="E19" s="11" t="s">
        <v>79</v>
      </c>
    </row>
    <row r="20" spans="1:5" x14ac:dyDescent="0.25">
      <c r="A20" s="22">
        <v>4</v>
      </c>
      <c r="B20" s="24">
        <v>46023</v>
      </c>
      <c r="C20" s="22">
        <v>300</v>
      </c>
      <c r="D20" s="22">
        <v>310</v>
      </c>
      <c r="E20" s="25" t="s">
        <v>60</v>
      </c>
    </row>
    <row r="21" spans="1:5" x14ac:dyDescent="0.25">
      <c r="A21" s="22">
        <v>4</v>
      </c>
      <c r="B21" s="24">
        <v>46054</v>
      </c>
      <c r="C21" s="22">
        <v>350</v>
      </c>
      <c r="D21" s="22">
        <v>360</v>
      </c>
      <c r="E21" s="25" t="s">
        <v>60</v>
      </c>
    </row>
    <row r="22" spans="1:5" x14ac:dyDescent="0.25">
      <c r="A22" s="22">
        <v>4</v>
      </c>
      <c r="B22" s="24">
        <v>46082</v>
      </c>
      <c r="C22" s="22">
        <v>400</v>
      </c>
      <c r="D22" s="22">
        <v>390</v>
      </c>
      <c r="E22" s="25" t="s">
        <v>14</v>
      </c>
    </row>
    <row r="23" spans="1:5" x14ac:dyDescent="0.25">
      <c r="A23" s="22">
        <v>4</v>
      </c>
      <c r="B23" s="24">
        <v>46113</v>
      </c>
      <c r="C23" s="22">
        <v>450</v>
      </c>
      <c r="D23" s="22">
        <v>460</v>
      </c>
      <c r="E23" s="25" t="s">
        <v>14</v>
      </c>
    </row>
    <row r="24" spans="1:5" x14ac:dyDescent="0.25">
      <c r="A24" s="22">
        <v>4</v>
      </c>
      <c r="B24" s="24">
        <v>46143</v>
      </c>
      <c r="C24" s="22">
        <v>400</v>
      </c>
      <c r="D24" s="25" t="s">
        <v>102</v>
      </c>
      <c r="E24" s="22" t="s">
        <v>75</v>
      </c>
    </row>
    <row r="25" spans="1:5" x14ac:dyDescent="0.25">
      <c r="A25" s="22">
        <v>4</v>
      </c>
      <c r="B25" s="24">
        <v>46174</v>
      </c>
      <c r="C25" s="22">
        <v>350</v>
      </c>
      <c r="D25" s="25" t="s">
        <v>102</v>
      </c>
      <c r="E25" s="22" t="s">
        <v>84</v>
      </c>
    </row>
    <row r="26" spans="1:5" x14ac:dyDescent="0.25">
      <c r="A26" s="22">
        <v>4</v>
      </c>
      <c r="B26" s="24">
        <v>46229</v>
      </c>
      <c r="C26" s="22">
        <v>400</v>
      </c>
      <c r="D26" s="25" t="s">
        <v>102</v>
      </c>
      <c r="E26" s="22" t="s">
        <v>79</v>
      </c>
    </row>
    <row r="27" spans="1:5" x14ac:dyDescent="0.25">
      <c r="A27" s="11">
        <v>5</v>
      </c>
      <c r="B27" s="13">
        <v>46023</v>
      </c>
      <c r="C27" s="11">
        <v>200</v>
      </c>
      <c r="D27" s="11">
        <v>210</v>
      </c>
      <c r="E27" s="8" t="s">
        <v>60</v>
      </c>
    </row>
    <row r="28" spans="1:5" x14ac:dyDescent="0.25">
      <c r="A28" s="11">
        <v>5</v>
      </c>
      <c r="B28" s="13">
        <v>46054</v>
      </c>
      <c r="C28" s="11">
        <v>250</v>
      </c>
      <c r="D28" s="11">
        <v>240</v>
      </c>
      <c r="E28" s="8" t="s">
        <v>60</v>
      </c>
    </row>
    <row r="29" spans="1:5" x14ac:dyDescent="0.25">
      <c r="A29" s="11">
        <v>5</v>
      </c>
      <c r="B29" s="13">
        <v>46082</v>
      </c>
      <c r="C29" s="11">
        <v>300</v>
      </c>
      <c r="D29" s="11">
        <v>310</v>
      </c>
      <c r="E29" s="8" t="s">
        <v>14</v>
      </c>
    </row>
    <row r="30" spans="1:5" x14ac:dyDescent="0.25">
      <c r="A30" s="11">
        <v>5</v>
      </c>
      <c r="B30" s="13">
        <v>46113</v>
      </c>
      <c r="C30" s="11">
        <v>350</v>
      </c>
      <c r="D30" s="8" t="s">
        <v>102</v>
      </c>
      <c r="E30" s="11" t="s">
        <v>75</v>
      </c>
    </row>
    <row r="31" spans="1:5" x14ac:dyDescent="0.25">
      <c r="A31" s="11">
        <v>5</v>
      </c>
      <c r="B31" s="13">
        <v>46143</v>
      </c>
      <c r="C31" s="11">
        <v>300</v>
      </c>
      <c r="D31" s="8" t="s">
        <v>102</v>
      </c>
      <c r="E31" s="11" t="s">
        <v>79</v>
      </c>
    </row>
    <row r="32" spans="1:5" x14ac:dyDescent="0.25">
      <c r="A32" s="11">
        <v>5</v>
      </c>
      <c r="B32" s="13">
        <v>46174</v>
      </c>
      <c r="C32" s="11">
        <v>450</v>
      </c>
      <c r="D32" s="8" t="s">
        <v>102</v>
      </c>
      <c r="E32" s="11" t="s">
        <v>84</v>
      </c>
    </row>
    <row r="33" spans="1:5" x14ac:dyDescent="0.25">
      <c r="A33" s="10">
        <v>6</v>
      </c>
      <c r="B33" s="15">
        <v>46023</v>
      </c>
      <c r="C33" s="10">
        <v>400</v>
      </c>
      <c r="D33" s="10">
        <v>420</v>
      </c>
      <c r="E33" s="9" t="s">
        <v>60</v>
      </c>
    </row>
    <row r="34" spans="1:5" x14ac:dyDescent="0.25">
      <c r="A34" s="10">
        <v>6</v>
      </c>
      <c r="B34" s="15">
        <v>46054</v>
      </c>
      <c r="C34" s="10">
        <v>450</v>
      </c>
      <c r="D34" s="10">
        <v>460</v>
      </c>
      <c r="E34" s="9" t="s">
        <v>14</v>
      </c>
    </row>
    <row r="35" spans="1:5" x14ac:dyDescent="0.25">
      <c r="A35" s="10">
        <v>6</v>
      </c>
      <c r="B35" s="15">
        <v>46082</v>
      </c>
      <c r="C35" s="10">
        <v>500</v>
      </c>
      <c r="D35" s="10">
        <v>490</v>
      </c>
      <c r="E35" s="10" t="s">
        <v>75</v>
      </c>
    </row>
    <row r="36" spans="1:5" x14ac:dyDescent="0.25">
      <c r="A36" s="10">
        <v>6</v>
      </c>
      <c r="B36" s="15">
        <v>46113</v>
      </c>
      <c r="C36" s="10">
        <v>450</v>
      </c>
      <c r="D36" s="9" t="s">
        <v>102</v>
      </c>
      <c r="E36" s="10" t="s">
        <v>79</v>
      </c>
    </row>
    <row r="37" spans="1:5" x14ac:dyDescent="0.25">
      <c r="A37" s="10">
        <v>6</v>
      </c>
      <c r="B37" s="15">
        <v>46143</v>
      </c>
      <c r="C37" s="10">
        <v>400</v>
      </c>
      <c r="D37" s="9" t="s">
        <v>102</v>
      </c>
      <c r="E37" s="10" t="s">
        <v>84</v>
      </c>
    </row>
    <row r="38" spans="1:5" x14ac:dyDescent="0.25">
      <c r="A38" s="11">
        <v>7</v>
      </c>
      <c r="B38" s="13">
        <v>46023</v>
      </c>
      <c r="C38" s="11">
        <v>300</v>
      </c>
      <c r="D38" s="11">
        <v>320</v>
      </c>
      <c r="E38" s="8" t="s">
        <v>60</v>
      </c>
    </row>
    <row r="39" spans="1:5" x14ac:dyDescent="0.25">
      <c r="A39" s="11">
        <v>7</v>
      </c>
      <c r="B39" s="13">
        <v>46054</v>
      </c>
      <c r="C39" s="11">
        <v>350</v>
      </c>
      <c r="D39" s="11">
        <v>360</v>
      </c>
      <c r="E39" s="8" t="s">
        <v>60</v>
      </c>
    </row>
    <row r="40" spans="1:5" x14ac:dyDescent="0.25">
      <c r="A40" s="11">
        <v>7</v>
      </c>
      <c r="B40" s="13">
        <v>46082</v>
      </c>
      <c r="C40" s="11">
        <v>400</v>
      </c>
      <c r="D40" s="11">
        <v>390</v>
      </c>
      <c r="E40" s="8" t="s">
        <v>14</v>
      </c>
    </row>
    <row r="41" spans="1:5" x14ac:dyDescent="0.25">
      <c r="A41" s="11">
        <v>7</v>
      </c>
      <c r="B41" s="13">
        <v>46113</v>
      </c>
      <c r="C41" s="11">
        <v>450</v>
      </c>
      <c r="D41" s="8" t="s">
        <v>102</v>
      </c>
      <c r="E41" s="11" t="s">
        <v>75</v>
      </c>
    </row>
    <row r="42" spans="1:5" x14ac:dyDescent="0.25">
      <c r="A42" s="11">
        <v>7</v>
      </c>
      <c r="B42" s="13">
        <v>46143</v>
      </c>
      <c r="C42" s="11">
        <v>400</v>
      </c>
      <c r="D42" s="8" t="s">
        <v>102</v>
      </c>
      <c r="E42" s="11" t="s">
        <v>79</v>
      </c>
    </row>
    <row r="43" spans="1:5" x14ac:dyDescent="0.25">
      <c r="A43" s="11">
        <v>7</v>
      </c>
      <c r="B43" s="13">
        <v>46174</v>
      </c>
      <c r="C43" s="11">
        <v>350</v>
      </c>
      <c r="D43" s="8" t="s">
        <v>102</v>
      </c>
      <c r="E43" s="11" t="s">
        <v>84</v>
      </c>
    </row>
    <row r="44" spans="1:5" x14ac:dyDescent="0.25">
      <c r="A44" s="10">
        <v>8</v>
      </c>
      <c r="B44" s="15">
        <v>46023</v>
      </c>
      <c r="C44" s="10">
        <v>400</v>
      </c>
      <c r="D44" s="10">
        <v>410</v>
      </c>
      <c r="E44" s="9" t="s">
        <v>60</v>
      </c>
    </row>
    <row r="45" spans="1:5" x14ac:dyDescent="0.25">
      <c r="A45" s="10">
        <v>8</v>
      </c>
      <c r="B45" s="15">
        <v>46054</v>
      </c>
      <c r="C45" s="10">
        <v>450</v>
      </c>
      <c r="D45" s="10">
        <v>460</v>
      </c>
      <c r="E45" s="9" t="s">
        <v>14</v>
      </c>
    </row>
    <row r="46" spans="1:5" x14ac:dyDescent="0.25">
      <c r="A46" s="10">
        <v>8</v>
      </c>
      <c r="B46" s="15">
        <v>46082</v>
      </c>
      <c r="C46" s="10">
        <v>500</v>
      </c>
      <c r="D46" s="10">
        <v>490</v>
      </c>
      <c r="E46" s="10" t="s">
        <v>75</v>
      </c>
    </row>
    <row r="47" spans="1:5" x14ac:dyDescent="0.25">
      <c r="A47" s="10">
        <v>8</v>
      </c>
      <c r="B47" s="15">
        <v>46113</v>
      </c>
      <c r="C47" s="10">
        <v>450</v>
      </c>
      <c r="D47" s="9" t="s">
        <v>102</v>
      </c>
      <c r="E47" s="10" t="s">
        <v>79</v>
      </c>
    </row>
    <row r="48" spans="1:5" x14ac:dyDescent="0.25">
      <c r="A48" s="10">
        <v>8</v>
      </c>
      <c r="B48" s="15">
        <v>46143</v>
      </c>
      <c r="C48" s="10">
        <v>400</v>
      </c>
      <c r="D48" s="9" t="s">
        <v>102</v>
      </c>
      <c r="E48" s="10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19B5-237D-4230-87BE-A3DF9607D935}">
  <dimension ref="B1:I17"/>
  <sheetViews>
    <sheetView tabSelected="1" topLeftCell="C1" workbookViewId="0">
      <selection activeCell="E19" sqref="E19"/>
    </sheetView>
  </sheetViews>
  <sheetFormatPr defaultRowHeight="15" x14ac:dyDescent="0.25"/>
  <cols>
    <col min="4" max="4" width="13.42578125" customWidth="1"/>
    <col min="5" max="5" width="40.5703125" customWidth="1"/>
    <col min="6" max="7" width="11.42578125" customWidth="1"/>
    <col min="8" max="8" width="21.42578125" customWidth="1"/>
  </cols>
  <sheetData>
    <row r="1" spans="2:9" s="26" customFormat="1" ht="23.25" customHeight="1" x14ac:dyDescent="0.25">
      <c r="B1" s="26" t="s">
        <v>61</v>
      </c>
      <c r="C1" s="26" t="s">
        <v>0</v>
      </c>
      <c r="D1" s="26" t="s">
        <v>62</v>
      </c>
      <c r="E1" s="26" t="s">
        <v>63</v>
      </c>
      <c r="F1" s="26" t="s">
        <v>64</v>
      </c>
      <c r="G1" s="26" t="s">
        <v>101</v>
      </c>
      <c r="H1" s="26" t="s">
        <v>65</v>
      </c>
      <c r="I1" s="26" t="s">
        <v>9</v>
      </c>
    </row>
    <row r="2" spans="2:9" x14ac:dyDescent="0.25">
      <c r="B2">
        <v>1</v>
      </c>
      <c r="C2">
        <v>1</v>
      </c>
      <c r="D2" t="s">
        <v>103</v>
      </c>
      <c r="E2" t="s">
        <v>104</v>
      </c>
      <c r="F2">
        <v>0</v>
      </c>
      <c r="G2" s="2">
        <v>46063</v>
      </c>
      <c r="H2">
        <v>7</v>
      </c>
      <c r="I2" t="s">
        <v>66</v>
      </c>
    </row>
    <row r="3" spans="2:9" x14ac:dyDescent="0.25">
      <c r="B3">
        <v>2</v>
      </c>
      <c r="C3">
        <v>1</v>
      </c>
      <c r="D3" s="27" t="s">
        <v>105</v>
      </c>
      <c r="E3" s="27" t="s">
        <v>106</v>
      </c>
      <c r="F3" s="27">
        <v>12000</v>
      </c>
      <c r="G3" s="2">
        <v>46086</v>
      </c>
      <c r="H3">
        <v>0</v>
      </c>
      <c r="I3" t="s">
        <v>107</v>
      </c>
    </row>
    <row r="4" spans="2:9" x14ac:dyDescent="0.25">
      <c r="B4">
        <v>3</v>
      </c>
      <c r="C4">
        <v>2</v>
      </c>
      <c r="D4" s="27" t="s">
        <v>108</v>
      </c>
      <c r="E4" s="27" t="s">
        <v>109</v>
      </c>
      <c r="F4" s="27">
        <v>5000</v>
      </c>
      <c r="G4" s="2">
        <v>46050</v>
      </c>
      <c r="H4">
        <v>10</v>
      </c>
      <c r="I4" t="s">
        <v>67</v>
      </c>
    </row>
    <row r="5" spans="2:9" x14ac:dyDescent="0.25">
      <c r="B5">
        <v>4</v>
      </c>
      <c r="C5">
        <v>2</v>
      </c>
      <c r="D5" s="28" t="s">
        <v>110</v>
      </c>
      <c r="E5" s="28" t="s">
        <v>111</v>
      </c>
      <c r="F5" s="28">
        <v>18000</v>
      </c>
      <c r="G5" s="29">
        <v>46068</v>
      </c>
      <c r="H5" s="28">
        <v>5</v>
      </c>
      <c r="I5" s="28" t="s">
        <v>66</v>
      </c>
    </row>
    <row r="6" spans="2:9" x14ac:dyDescent="0.25">
      <c r="B6">
        <v>5</v>
      </c>
      <c r="C6">
        <v>3</v>
      </c>
      <c r="D6" t="s">
        <v>112</v>
      </c>
      <c r="E6" t="s">
        <v>113</v>
      </c>
      <c r="F6">
        <v>22000</v>
      </c>
      <c r="G6" s="2">
        <v>46083</v>
      </c>
      <c r="H6">
        <v>12</v>
      </c>
      <c r="I6" t="s">
        <v>66</v>
      </c>
    </row>
    <row r="7" spans="2:9" x14ac:dyDescent="0.25">
      <c r="B7">
        <v>6</v>
      </c>
      <c r="C7">
        <v>3</v>
      </c>
      <c r="D7" t="s">
        <v>114</v>
      </c>
      <c r="E7" t="s">
        <v>115</v>
      </c>
      <c r="F7">
        <v>8000</v>
      </c>
      <c r="G7" s="2">
        <v>46073</v>
      </c>
      <c r="H7">
        <v>6</v>
      </c>
      <c r="I7" t="s">
        <v>107</v>
      </c>
    </row>
    <row r="8" spans="2:9" x14ac:dyDescent="0.25">
      <c r="B8">
        <v>7</v>
      </c>
      <c r="C8">
        <v>4</v>
      </c>
      <c r="D8" t="s">
        <v>116</v>
      </c>
      <c r="E8" t="s">
        <v>117</v>
      </c>
      <c r="F8">
        <v>0</v>
      </c>
      <c r="G8" s="2">
        <v>46040</v>
      </c>
      <c r="H8">
        <v>14</v>
      </c>
      <c r="I8" t="s">
        <v>67</v>
      </c>
    </row>
    <row r="9" spans="2:9" x14ac:dyDescent="0.25">
      <c r="B9">
        <v>8</v>
      </c>
      <c r="C9">
        <v>4</v>
      </c>
      <c r="D9" s="28" t="s">
        <v>105</v>
      </c>
      <c r="E9" s="28" t="s">
        <v>118</v>
      </c>
      <c r="F9" s="28">
        <v>30000</v>
      </c>
      <c r="G9" s="29">
        <v>46078</v>
      </c>
      <c r="H9" s="28">
        <v>0</v>
      </c>
      <c r="I9" s="28" t="s">
        <v>66</v>
      </c>
    </row>
    <row r="10" spans="2:9" x14ac:dyDescent="0.25">
      <c r="B10">
        <v>9</v>
      </c>
      <c r="C10">
        <v>5</v>
      </c>
      <c r="D10" t="s">
        <v>119</v>
      </c>
      <c r="E10" t="s">
        <v>120</v>
      </c>
      <c r="F10">
        <v>15000</v>
      </c>
      <c r="G10" s="2">
        <v>46089</v>
      </c>
      <c r="H10">
        <v>9</v>
      </c>
      <c r="I10" t="s">
        <v>66</v>
      </c>
    </row>
    <row r="11" spans="2:9" x14ac:dyDescent="0.25">
      <c r="B11">
        <v>10</v>
      </c>
      <c r="C11">
        <v>5</v>
      </c>
      <c r="D11" t="s">
        <v>103</v>
      </c>
      <c r="E11" t="s">
        <v>121</v>
      </c>
      <c r="F11">
        <v>0</v>
      </c>
      <c r="G11" s="2">
        <v>46058</v>
      </c>
      <c r="H11">
        <v>4</v>
      </c>
      <c r="I11" t="s">
        <v>67</v>
      </c>
    </row>
    <row r="12" spans="2:9" x14ac:dyDescent="0.25">
      <c r="B12">
        <v>11</v>
      </c>
      <c r="C12">
        <v>6</v>
      </c>
      <c r="D12" s="28" t="s">
        <v>110</v>
      </c>
      <c r="E12" s="28" t="s">
        <v>122</v>
      </c>
      <c r="F12" s="28">
        <v>45000</v>
      </c>
      <c r="G12" s="29">
        <v>46082</v>
      </c>
      <c r="H12" s="28">
        <v>15</v>
      </c>
      <c r="I12" s="28" t="s">
        <v>66</v>
      </c>
    </row>
    <row r="13" spans="2:9" x14ac:dyDescent="0.25">
      <c r="B13">
        <v>12</v>
      </c>
      <c r="C13">
        <v>6</v>
      </c>
      <c r="D13" t="s">
        <v>112</v>
      </c>
      <c r="E13" t="s">
        <v>123</v>
      </c>
      <c r="F13">
        <v>10000</v>
      </c>
      <c r="G13" s="2">
        <v>46065</v>
      </c>
      <c r="H13">
        <v>3</v>
      </c>
      <c r="I13" t="s">
        <v>67</v>
      </c>
    </row>
    <row r="14" spans="2:9" x14ac:dyDescent="0.25">
      <c r="B14">
        <v>13</v>
      </c>
      <c r="C14">
        <v>7</v>
      </c>
      <c r="D14" s="27" t="s">
        <v>108</v>
      </c>
      <c r="E14" s="27" t="s">
        <v>124</v>
      </c>
      <c r="F14" s="27">
        <v>7000</v>
      </c>
      <c r="G14" s="2">
        <v>46052</v>
      </c>
      <c r="H14">
        <v>5</v>
      </c>
      <c r="I14" t="s">
        <v>107</v>
      </c>
    </row>
    <row r="15" spans="2:9" x14ac:dyDescent="0.25">
      <c r="B15">
        <v>14</v>
      </c>
      <c r="C15">
        <v>7</v>
      </c>
      <c r="D15" s="28" t="s">
        <v>105</v>
      </c>
      <c r="E15" s="28" t="s">
        <v>125</v>
      </c>
      <c r="F15" s="28">
        <v>9000</v>
      </c>
      <c r="G15" s="29">
        <v>46075</v>
      </c>
      <c r="H15" s="28">
        <v>0</v>
      </c>
      <c r="I15" s="28" t="s">
        <v>66</v>
      </c>
    </row>
    <row r="16" spans="2:9" x14ac:dyDescent="0.25">
      <c r="B16">
        <v>15</v>
      </c>
      <c r="C16">
        <v>8</v>
      </c>
      <c r="D16" t="s">
        <v>103</v>
      </c>
      <c r="E16" t="s">
        <v>126</v>
      </c>
      <c r="F16">
        <v>0</v>
      </c>
      <c r="G16" s="2">
        <v>46087</v>
      </c>
      <c r="H16">
        <v>8</v>
      </c>
      <c r="I16" t="s">
        <v>66</v>
      </c>
    </row>
    <row r="17" spans="2:9" x14ac:dyDescent="0.25">
      <c r="B17">
        <v>16</v>
      </c>
      <c r="C17">
        <v>8</v>
      </c>
      <c r="D17" t="s">
        <v>116</v>
      </c>
      <c r="E17" t="s">
        <v>127</v>
      </c>
      <c r="F17">
        <v>0</v>
      </c>
      <c r="G17" s="2">
        <v>46047</v>
      </c>
      <c r="H17">
        <v>11</v>
      </c>
      <c r="I17" t="s">
        <v>67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cost</vt:lpstr>
      <vt:lpstr>schedule</vt:lpstr>
      <vt:lpstr>manhours</vt:lpstr>
      <vt:lpstr>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kim</dc:creator>
  <cp:lastModifiedBy>alex kim</cp:lastModifiedBy>
  <dcterms:created xsi:type="dcterms:W3CDTF">2026-01-05T16:31:55Z</dcterms:created>
  <dcterms:modified xsi:type="dcterms:W3CDTF">2026-01-15T21:27:41Z</dcterms:modified>
</cp:coreProperties>
</file>