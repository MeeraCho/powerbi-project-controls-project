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ra\power_bi_raw_data\"/>
    </mc:Choice>
  </mc:AlternateContent>
  <xr:revisionPtr revIDLastSave="0" documentId="13_ncr:1_{E81BE565-854B-413C-9F66-5467556A5374}" xr6:coauthVersionLast="47" xr6:coauthVersionMax="47" xr10:uidLastSave="{00000000-0000-0000-0000-000000000000}"/>
  <bookViews>
    <workbookView xWindow="1116" yWindow="1116" windowWidth="17280" windowHeight="8880" tabRatio="780" xr2:uid="{C12F9EA7-521F-462C-8D39-24D3CB274305}"/>
  </bookViews>
  <sheets>
    <sheet name="co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2" l="1"/>
  <c r="H49" i="2"/>
  <c r="I43" i="2"/>
  <c r="H43" i="2"/>
  <c r="I37" i="2"/>
  <c r="H37" i="2"/>
  <c r="I31" i="2"/>
  <c r="H31" i="2"/>
  <c r="I25" i="2"/>
  <c r="H25" i="2"/>
  <c r="I19" i="2"/>
  <c r="H19" i="2"/>
  <c r="I15" i="2"/>
  <c r="H15" i="2"/>
  <c r="I7" i="2"/>
  <c r="H7" i="2"/>
</calcChain>
</file>

<file path=xl/sharedStrings.xml><?xml version="1.0" encoding="utf-8"?>
<sst xmlns="http://schemas.openxmlformats.org/spreadsheetml/2006/main" count="175" uniqueCount="34">
  <si>
    <t>ProjectID</t>
  </si>
  <si>
    <t>CostDate</t>
  </si>
  <si>
    <t>CostCategory</t>
  </si>
  <si>
    <t>BudgetCost</t>
  </si>
  <si>
    <t>ActualCost</t>
  </si>
  <si>
    <t>ChangeOrder</t>
  </si>
  <si>
    <t>InvoiceNumber</t>
  </si>
  <si>
    <t>Labor</t>
  </si>
  <si>
    <t>No</t>
  </si>
  <si>
    <t>INV001</t>
  </si>
  <si>
    <t>INV002</t>
  </si>
  <si>
    <t>Material</t>
  </si>
  <si>
    <t>Yes</t>
  </si>
  <si>
    <t>INV003</t>
  </si>
  <si>
    <t>Equipment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</si>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</sst>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85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1" applyFont="1" applyAlignment="1">
      <alignment horizontal="center" vertical="center" wrapText="1"/>
    </xf>
    <xf numFmtId="164" fontId="0" fillId="0" borderId="0" xfId="1" applyFon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7" fontId="0" fillId="4" borderId="0" xfId="0" applyNumberFormat="1" applyFill="1" applyAlignment="1">
      <alignment horizontal="center" vertical="center" wrapText="1"/>
    </xf>
    <xf numFmtId="164" fontId="0" fillId="4" borderId="0" xfId="1" applyFont="1" applyFill="1" applyAlignment="1">
      <alignment horizontal="center" vertical="center" wrapText="1"/>
    </xf>
    <xf numFmtId="17" fontId="0" fillId="3" borderId="0" xfId="0" applyNumberFormat="1" applyFill="1" applyAlignment="1">
      <alignment horizontal="center" vertical="center" wrapText="1"/>
    </xf>
    <xf numFmtId="164" fontId="0" fillId="3" borderId="0" xfId="1" applyFont="1" applyFill="1" applyAlignment="1">
      <alignment horizontal="center" vertical="center" wrapText="1"/>
    </xf>
    <xf numFmtId="16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64" fontId="0" fillId="4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 applyAlignment="1">
      <alignment horizontal="center"/>
    </xf>
    <xf numFmtId="17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192A-F0AA-4EAD-B486-D0CED6DA2B82}">
  <dimension ref="A1:J49"/>
  <sheetViews>
    <sheetView tabSelected="1" workbookViewId="0">
      <selection activeCell="I3" sqref="I3"/>
    </sheetView>
  </sheetViews>
  <sheetFormatPr defaultRowHeight="14.4" x14ac:dyDescent="0.3"/>
  <cols>
    <col min="2" max="2" width="13.5546875" customWidth="1"/>
    <col min="3" max="3" width="13.109375" customWidth="1"/>
    <col min="4" max="5" width="11.5546875" style="3" bestFit="1" customWidth="1"/>
    <col min="8" max="9" width="12.5546875" bestFit="1" customWidth="1"/>
  </cols>
  <sheetData>
    <row r="1" spans="1:10" ht="28.8" x14ac:dyDescent="0.3">
      <c r="A1" s="1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10" x14ac:dyDescent="0.3">
      <c r="A2" s="6">
        <v>1</v>
      </c>
      <c r="B2" s="10">
        <v>46023</v>
      </c>
      <c r="C2" s="6" t="s">
        <v>14</v>
      </c>
      <c r="D2" s="11">
        <v>50000</v>
      </c>
      <c r="E2" s="11">
        <v>50000</v>
      </c>
      <c r="F2" s="6" t="s">
        <v>8</v>
      </c>
      <c r="G2" s="6" t="s">
        <v>9</v>
      </c>
    </row>
    <row r="3" spans="1:10" x14ac:dyDescent="0.3">
      <c r="A3" s="6">
        <v>1</v>
      </c>
      <c r="B3" s="10">
        <v>46054</v>
      </c>
      <c r="C3" s="6" t="s">
        <v>7</v>
      </c>
      <c r="D3" s="11">
        <v>60000</v>
      </c>
      <c r="E3" s="11">
        <v>58000</v>
      </c>
      <c r="F3" s="6" t="s">
        <v>8</v>
      </c>
      <c r="G3" s="6" t="s">
        <v>10</v>
      </c>
    </row>
    <row r="4" spans="1:10" x14ac:dyDescent="0.3">
      <c r="A4" s="6">
        <v>1</v>
      </c>
      <c r="B4" s="10">
        <v>46082</v>
      </c>
      <c r="C4" s="6" t="s">
        <v>11</v>
      </c>
      <c r="D4" s="11">
        <v>40000</v>
      </c>
      <c r="E4" s="11">
        <v>36000</v>
      </c>
      <c r="F4" s="6" t="s">
        <v>12</v>
      </c>
      <c r="G4" s="6" t="s">
        <v>13</v>
      </c>
    </row>
    <row r="5" spans="1:10" x14ac:dyDescent="0.3">
      <c r="A5" s="6">
        <v>1</v>
      </c>
      <c r="B5" s="10">
        <v>46113</v>
      </c>
      <c r="C5" s="6" t="s">
        <v>14</v>
      </c>
      <c r="D5" s="11">
        <v>30000</v>
      </c>
      <c r="E5" s="6" t="s">
        <v>33</v>
      </c>
      <c r="F5" s="6" t="s">
        <v>33</v>
      </c>
      <c r="G5" s="6" t="s">
        <v>33</v>
      </c>
    </row>
    <row r="6" spans="1:10" x14ac:dyDescent="0.3">
      <c r="A6" s="6">
        <v>1</v>
      </c>
      <c r="B6" s="10">
        <v>46143</v>
      </c>
      <c r="C6" s="6" t="s">
        <v>7</v>
      </c>
      <c r="D6" s="11">
        <v>50000</v>
      </c>
      <c r="E6" s="6" t="s">
        <v>33</v>
      </c>
      <c r="F6" s="6" t="s">
        <v>33</v>
      </c>
      <c r="G6" s="6" t="s">
        <v>33</v>
      </c>
    </row>
    <row r="7" spans="1:10" x14ac:dyDescent="0.3">
      <c r="A7" s="6">
        <v>1</v>
      </c>
      <c r="B7" s="10">
        <v>46174</v>
      </c>
      <c r="C7" s="6" t="s">
        <v>11</v>
      </c>
      <c r="D7" s="11">
        <v>40000</v>
      </c>
      <c r="E7" s="6" t="s">
        <v>33</v>
      </c>
      <c r="F7" s="6" t="s">
        <v>33</v>
      </c>
      <c r="G7" s="6" t="s">
        <v>33</v>
      </c>
      <c r="H7" s="5">
        <f>SUM(D2:D4)</f>
        <v>150000</v>
      </c>
      <c r="I7" s="5">
        <f>SUM(E2:E4)</f>
        <v>144000</v>
      </c>
      <c r="J7" s="16">
        <v>6000</v>
      </c>
    </row>
    <row r="8" spans="1:10" x14ac:dyDescent="0.3">
      <c r="A8" s="7">
        <v>2</v>
      </c>
      <c r="B8" s="12">
        <v>46023</v>
      </c>
      <c r="C8" s="7" t="s">
        <v>7</v>
      </c>
      <c r="D8" s="13">
        <v>60000</v>
      </c>
      <c r="E8" s="13">
        <v>60000</v>
      </c>
      <c r="F8" s="7" t="s">
        <v>12</v>
      </c>
      <c r="G8" s="7" t="s">
        <v>15</v>
      </c>
    </row>
    <row r="9" spans="1:10" x14ac:dyDescent="0.3">
      <c r="A9" s="7">
        <v>2</v>
      </c>
      <c r="B9" s="12">
        <v>46054</v>
      </c>
      <c r="C9" s="7" t="s">
        <v>11</v>
      </c>
      <c r="D9" s="13">
        <v>50000</v>
      </c>
      <c r="E9" s="13">
        <v>53000</v>
      </c>
      <c r="F9" s="7" t="s">
        <v>8</v>
      </c>
      <c r="G9" s="7" t="s">
        <v>16</v>
      </c>
    </row>
    <row r="10" spans="1:10" x14ac:dyDescent="0.3">
      <c r="A10" s="7">
        <v>2</v>
      </c>
      <c r="B10" s="12">
        <v>46082</v>
      </c>
      <c r="C10" s="7" t="s">
        <v>14</v>
      </c>
      <c r="D10" s="13">
        <v>40000</v>
      </c>
      <c r="E10" s="13">
        <v>40000</v>
      </c>
      <c r="F10" s="7" t="s">
        <v>8</v>
      </c>
      <c r="G10" s="7" t="s">
        <v>17</v>
      </c>
    </row>
    <row r="11" spans="1:10" x14ac:dyDescent="0.3">
      <c r="A11" s="7">
        <v>2</v>
      </c>
      <c r="B11" s="12">
        <v>46113</v>
      </c>
      <c r="C11" s="7" t="s">
        <v>7</v>
      </c>
      <c r="D11" s="13">
        <v>55000</v>
      </c>
      <c r="E11" s="7" t="s">
        <v>33</v>
      </c>
      <c r="F11" s="7" t="s">
        <v>33</v>
      </c>
      <c r="G11" s="7" t="s">
        <v>33</v>
      </c>
    </row>
    <row r="12" spans="1:10" x14ac:dyDescent="0.3">
      <c r="A12" s="7">
        <v>2</v>
      </c>
      <c r="B12" s="12">
        <v>46143</v>
      </c>
      <c r="C12" s="7" t="s">
        <v>11</v>
      </c>
      <c r="D12" s="13">
        <v>45000</v>
      </c>
      <c r="E12" s="7" t="s">
        <v>33</v>
      </c>
      <c r="F12" s="7" t="s">
        <v>33</v>
      </c>
      <c r="G12" s="7" t="s">
        <v>33</v>
      </c>
    </row>
    <row r="13" spans="1:10" x14ac:dyDescent="0.3">
      <c r="A13" s="7">
        <v>2</v>
      </c>
      <c r="B13" s="12">
        <v>46174</v>
      </c>
      <c r="C13" s="7" t="s">
        <v>7</v>
      </c>
      <c r="D13" s="13">
        <v>60000</v>
      </c>
      <c r="E13" s="7" t="s">
        <v>33</v>
      </c>
      <c r="F13" s="7" t="s">
        <v>33</v>
      </c>
      <c r="G13" s="7" t="s">
        <v>33</v>
      </c>
    </row>
    <row r="14" spans="1:10" x14ac:dyDescent="0.3">
      <c r="A14" s="7">
        <v>2</v>
      </c>
      <c r="B14" s="12">
        <v>46229</v>
      </c>
      <c r="C14" s="7" t="s">
        <v>11</v>
      </c>
      <c r="D14" s="13">
        <v>50000</v>
      </c>
      <c r="E14" s="7" t="s">
        <v>33</v>
      </c>
      <c r="F14" s="7" t="s">
        <v>33</v>
      </c>
      <c r="G14" s="7" t="s">
        <v>33</v>
      </c>
    </row>
    <row r="15" spans="1:10" x14ac:dyDescent="0.3">
      <c r="A15" s="7">
        <v>2</v>
      </c>
      <c r="B15" s="12">
        <v>46260</v>
      </c>
      <c r="C15" s="7" t="s">
        <v>14</v>
      </c>
      <c r="D15" s="13">
        <v>40000</v>
      </c>
      <c r="E15" s="7" t="s">
        <v>33</v>
      </c>
      <c r="F15" s="7" t="s">
        <v>33</v>
      </c>
      <c r="G15" s="7" t="s">
        <v>33</v>
      </c>
      <c r="H15" s="5">
        <f>SUM(D8:D10)</f>
        <v>150000</v>
      </c>
      <c r="I15" s="5">
        <f>SUM(E8:E10)</f>
        <v>153000</v>
      </c>
      <c r="J15" s="17">
        <v>-3000</v>
      </c>
    </row>
    <row r="16" spans="1:10" x14ac:dyDescent="0.3">
      <c r="A16" s="6">
        <v>3</v>
      </c>
      <c r="B16" s="10">
        <v>46023</v>
      </c>
      <c r="C16" s="6" t="s">
        <v>7</v>
      </c>
      <c r="D16" s="11">
        <v>55000</v>
      </c>
      <c r="E16" s="11">
        <v>57000</v>
      </c>
      <c r="F16" s="6" t="s">
        <v>8</v>
      </c>
      <c r="G16" s="6" t="s">
        <v>23</v>
      </c>
    </row>
    <row r="17" spans="1:10" x14ac:dyDescent="0.3">
      <c r="A17" s="6">
        <v>3</v>
      </c>
      <c r="B17" s="10">
        <v>46054</v>
      </c>
      <c r="C17" s="6" t="s">
        <v>11</v>
      </c>
      <c r="D17" s="11">
        <v>45000</v>
      </c>
      <c r="E17" s="11">
        <v>44000</v>
      </c>
      <c r="F17" s="6" t="s">
        <v>8</v>
      </c>
      <c r="G17" s="6" t="s">
        <v>24</v>
      </c>
    </row>
    <row r="18" spans="1:10" x14ac:dyDescent="0.3">
      <c r="A18" s="6">
        <v>3</v>
      </c>
      <c r="B18" s="10">
        <v>46082</v>
      </c>
      <c r="C18" s="6" t="s">
        <v>14</v>
      </c>
      <c r="D18" s="11">
        <v>40000</v>
      </c>
      <c r="E18" s="11">
        <v>39000</v>
      </c>
      <c r="F18" s="6" t="s">
        <v>12</v>
      </c>
      <c r="G18" s="6" t="s">
        <v>25</v>
      </c>
    </row>
    <row r="19" spans="1:10" x14ac:dyDescent="0.3">
      <c r="A19" s="6">
        <v>3</v>
      </c>
      <c r="B19" s="10">
        <v>46113</v>
      </c>
      <c r="C19" s="6" t="s">
        <v>7</v>
      </c>
      <c r="D19" s="11">
        <v>50000</v>
      </c>
      <c r="E19" s="6" t="s">
        <v>33</v>
      </c>
      <c r="F19" s="6" t="s">
        <v>33</v>
      </c>
      <c r="G19" s="6" t="s">
        <v>33</v>
      </c>
      <c r="H19" s="5">
        <f>SUM(D16:D18)</f>
        <v>140000</v>
      </c>
      <c r="I19" s="5">
        <f>SUM(E16:E18)</f>
        <v>140000</v>
      </c>
      <c r="J19" s="15">
        <v>0</v>
      </c>
    </row>
    <row r="20" spans="1:10" x14ac:dyDescent="0.3">
      <c r="A20" s="8">
        <v>4</v>
      </c>
      <c r="B20" s="12">
        <v>46023</v>
      </c>
      <c r="C20" s="8" t="s">
        <v>7</v>
      </c>
      <c r="D20" s="14">
        <v>50000</v>
      </c>
      <c r="E20" s="14">
        <v>51000</v>
      </c>
      <c r="F20" s="8" t="s">
        <v>8</v>
      </c>
      <c r="G20" s="8" t="s">
        <v>18</v>
      </c>
    </row>
    <row r="21" spans="1:10" x14ac:dyDescent="0.3">
      <c r="A21" s="8">
        <v>4</v>
      </c>
      <c r="B21" s="12">
        <v>46054</v>
      </c>
      <c r="C21" s="8" t="s">
        <v>11</v>
      </c>
      <c r="D21" s="14">
        <v>42000</v>
      </c>
      <c r="E21" s="14">
        <v>43000</v>
      </c>
      <c r="F21" s="8" t="s">
        <v>8</v>
      </c>
      <c r="G21" s="8" t="s">
        <v>19</v>
      </c>
    </row>
    <row r="22" spans="1:10" x14ac:dyDescent="0.3">
      <c r="A22" s="8">
        <v>4</v>
      </c>
      <c r="B22" s="12">
        <v>46082</v>
      </c>
      <c r="C22" s="8" t="s">
        <v>14</v>
      </c>
      <c r="D22" s="14">
        <v>35000</v>
      </c>
      <c r="E22" s="14">
        <v>34000</v>
      </c>
      <c r="F22" s="8" t="s">
        <v>8</v>
      </c>
      <c r="G22" s="8" t="s">
        <v>20</v>
      </c>
    </row>
    <row r="23" spans="1:10" x14ac:dyDescent="0.3">
      <c r="A23" s="8">
        <v>4</v>
      </c>
      <c r="B23" s="12">
        <v>46113</v>
      </c>
      <c r="C23" s="8" t="s">
        <v>7</v>
      </c>
      <c r="D23" s="14">
        <v>52000</v>
      </c>
      <c r="E23" s="7" t="s">
        <v>33</v>
      </c>
      <c r="F23" s="7" t="s">
        <v>33</v>
      </c>
      <c r="G23" s="7" t="s">
        <v>33</v>
      </c>
    </row>
    <row r="24" spans="1:10" x14ac:dyDescent="0.3">
      <c r="A24" s="8">
        <v>4</v>
      </c>
      <c r="B24" s="12">
        <v>46143</v>
      </c>
      <c r="C24" s="8" t="s">
        <v>11</v>
      </c>
      <c r="D24" s="14">
        <v>43000</v>
      </c>
      <c r="E24" s="7" t="s">
        <v>33</v>
      </c>
      <c r="F24" s="7" t="s">
        <v>33</v>
      </c>
      <c r="G24" s="7" t="s">
        <v>33</v>
      </c>
    </row>
    <row r="25" spans="1:10" x14ac:dyDescent="0.3">
      <c r="A25" s="8">
        <v>4</v>
      </c>
      <c r="B25" s="12">
        <v>46174</v>
      </c>
      <c r="C25" s="8" t="s">
        <v>14</v>
      </c>
      <c r="D25" s="14">
        <v>36000</v>
      </c>
      <c r="E25" s="7" t="s">
        <v>33</v>
      </c>
      <c r="F25" s="7" t="s">
        <v>33</v>
      </c>
      <c r="G25" s="7" t="s">
        <v>33</v>
      </c>
      <c r="H25" s="5">
        <f>SUM(D20:D22)</f>
        <v>127000</v>
      </c>
      <c r="I25" s="5">
        <f>SUM(E20:E22)</f>
        <v>128000</v>
      </c>
      <c r="J25" s="17">
        <v>-1000</v>
      </c>
    </row>
    <row r="26" spans="1:10" x14ac:dyDescent="0.3">
      <c r="A26" s="9">
        <v>5</v>
      </c>
      <c r="B26" s="10">
        <v>46023</v>
      </c>
      <c r="C26" s="9" t="s">
        <v>7</v>
      </c>
      <c r="D26" s="18">
        <v>36000</v>
      </c>
      <c r="E26" s="18">
        <v>39000</v>
      </c>
      <c r="F26" s="9" t="s">
        <v>8</v>
      </c>
      <c r="G26" s="9" t="s">
        <v>21</v>
      </c>
    </row>
    <row r="27" spans="1:10" x14ac:dyDescent="0.3">
      <c r="A27" s="9">
        <v>5</v>
      </c>
      <c r="B27" s="10">
        <v>46054</v>
      </c>
      <c r="C27" s="9" t="s">
        <v>11</v>
      </c>
      <c r="D27" s="18">
        <v>25000</v>
      </c>
      <c r="E27" s="18">
        <v>27000</v>
      </c>
      <c r="F27" s="9" t="s">
        <v>8</v>
      </c>
      <c r="G27" s="9" t="s">
        <v>22</v>
      </c>
    </row>
    <row r="28" spans="1:10" x14ac:dyDescent="0.3">
      <c r="A28" s="9">
        <v>5</v>
      </c>
      <c r="B28" s="10">
        <v>46082</v>
      </c>
      <c r="C28" s="9" t="s">
        <v>14</v>
      </c>
      <c r="D28" s="18">
        <v>20000</v>
      </c>
      <c r="E28" s="18">
        <v>21000</v>
      </c>
      <c r="F28" s="9" t="s">
        <v>12</v>
      </c>
      <c r="G28" s="9" t="s">
        <v>23</v>
      </c>
    </row>
    <row r="29" spans="1:10" x14ac:dyDescent="0.3">
      <c r="A29" s="9">
        <v>5</v>
      </c>
      <c r="B29" s="10">
        <v>46113</v>
      </c>
      <c r="C29" s="9" t="s">
        <v>7</v>
      </c>
      <c r="D29" s="18">
        <v>32000</v>
      </c>
      <c r="E29" s="6" t="s">
        <v>33</v>
      </c>
      <c r="F29" s="6" t="s">
        <v>33</v>
      </c>
      <c r="G29" s="6" t="s">
        <v>33</v>
      </c>
    </row>
    <row r="30" spans="1:10" x14ac:dyDescent="0.3">
      <c r="A30" s="9">
        <v>5</v>
      </c>
      <c r="B30" s="10">
        <v>46143</v>
      </c>
      <c r="C30" s="9" t="s">
        <v>11</v>
      </c>
      <c r="D30" s="18">
        <v>27000</v>
      </c>
      <c r="E30" s="6" t="s">
        <v>33</v>
      </c>
      <c r="F30" s="6" t="s">
        <v>33</v>
      </c>
      <c r="G30" s="6" t="s">
        <v>33</v>
      </c>
    </row>
    <row r="31" spans="1:10" x14ac:dyDescent="0.3">
      <c r="A31" s="9">
        <v>5</v>
      </c>
      <c r="B31" s="10">
        <v>46174</v>
      </c>
      <c r="C31" s="9" t="s">
        <v>14</v>
      </c>
      <c r="D31" s="18">
        <v>22000</v>
      </c>
      <c r="E31" s="6" t="s">
        <v>33</v>
      </c>
      <c r="F31" s="6" t="s">
        <v>33</v>
      </c>
      <c r="G31" s="6" t="s">
        <v>33</v>
      </c>
      <c r="H31" s="5">
        <f>SUM(D26:D28)</f>
        <v>81000</v>
      </c>
      <c r="I31" s="5">
        <f>SUM(E26:E28)</f>
        <v>87000</v>
      </c>
      <c r="J31" s="17">
        <v>-6000</v>
      </c>
    </row>
    <row r="32" spans="1:10" x14ac:dyDescent="0.3">
      <c r="A32" s="19">
        <v>6</v>
      </c>
      <c r="B32" s="21">
        <v>46023</v>
      </c>
      <c r="C32" s="19" t="s">
        <v>7</v>
      </c>
      <c r="D32" s="20">
        <v>55000</v>
      </c>
      <c r="E32" s="20">
        <v>54000</v>
      </c>
      <c r="F32" s="19" t="s">
        <v>8</v>
      </c>
      <c r="G32" s="19" t="s">
        <v>24</v>
      </c>
    </row>
    <row r="33" spans="1:10" x14ac:dyDescent="0.3">
      <c r="A33" s="19">
        <v>6</v>
      </c>
      <c r="B33" s="21">
        <v>46054</v>
      </c>
      <c r="C33" s="19" t="s">
        <v>11</v>
      </c>
      <c r="D33" s="20">
        <v>50000</v>
      </c>
      <c r="E33" s="20">
        <v>51000</v>
      </c>
      <c r="F33" s="19" t="s">
        <v>8</v>
      </c>
      <c r="G33" s="19" t="s">
        <v>25</v>
      </c>
    </row>
    <row r="34" spans="1:10" x14ac:dyDescent="0.3">
      <c r="A34" s="19">
        <v>6</v>
      </c>
      <c r="B34" s="21">
        <v>46082</v>
      </c>
      <c r="C34" s="19" t="s">
        <v>14</v>
      </c>
      <c r="D34" s="20">
        <v>45000</v>
      </c>
      <c r="E34" s="20">
        <v>44000</v>
      </c>
      <c r="F34" s="19" t="s">
        <v>12</v>
      </c>
      <c r="G34" s="19" t="s">
        <v>26</v>
      </c>
    </row>
    <row r="35" spans="1:10" x14ac:dyDescent="0.3">
      <c r="A35" s="19">
        <v>6</v>
      </c>
      <c r="B35" s="21">
        <v>46113</v>
      </c>
      <c r="C35" s="19" t="s">
        <v>7</v>
      </c>
      <c r="D35" s="20">
        <v>56000</v>
      </c>
      <c r="E35" s="22" t="s">
        <v>33</v>
      </c>
      <c r="F35" s="22" t="s">
        <v>33</v>
      </c>
      <c r="G35" s="22" t="s">
        <v>33</v>
      </c>
    </row>
    <row r="36" spans="1:10" x14ac:dyDescent="0.3">
      <c r="A36" s="19">
        <v>6</v>
      </c>
      <c r="B36" s="21">
        <v>46143</v>
      </c>
      <c r="C36" s="19" t="s">
        <v>11</v>
      </c>
      <c r="D36" s="20">
        <v>51000</v>
      </c>
      <c r="E36" s="22" t="s">
        <v>33</v>
      </c>
      <c r="F36" s="22" t="s">
        <v>33</v>
      </c>
      <c r="G36" s="22" t="s">
        <v>33</v>
      </c>
    </row>
    <row r="37" spans="1:10" x14ac:dyDescent="0.3">
      <c r="A37" s="19">
        <v>6</v>
      </c>
      <c r="B37" s="21">
        <v>46174</v>
      </c>
      <c r="C37" s="19" t="s">
        <v>14</v>
      </c>
      <c r="D37" s="20">
        <v>47000</v>
      </c>
      <c r="E37" s="22" t="s">
        <v>33</v>
      </c>
      <c r="F37" s="22" t="s">
        <v>33</v>
      </c>
      <c r="G37" s="22" t="s">
        <v>33</v>
      </c>
      <c r="H37" s="5">
        <f>SUM(D32:D34)</f>
        <v>150000</v>
      </c>
      <c r="I37" s="5">
        <f>SUM(E32:E34)</f>
        <v>149000</v>
      </c>
      <c r="J37" s="16">
        <v>1000</v>
      </c>
    </row>
    <row r="38" spans="1:10" x14ac:dyDescent="0.3">
      <c r="A38" s="9">
        <v>7</v>
      </c>
      <c r="B38" s="10">
        <v>46023</v>
      </c>
      <c r="C38" s="9" t="s">
        <v>7</v>
      </c>
      <c r="D38" s="18">
        <v>60000</v>
      </c>
      <c r="E38" s="18">
        <v>62000</v>
      </c>
      <c r="F38" s="9" t="s">
        <v>8</v>
      </c>
      <c r="G38" s="9" t="s">
        <v>27</v>
      </c>
    </row>
    <row r="39" spans="1:10" x14ac:dyDescent="0.3">
      <c r="A39" s="9">
        <v>7</v>
      </c>
      <c r="B39" s="10">
        <v>46054</v>
      </c>
      <c r="C39" s="9" t="s">
        <v>11</v>
      </c>
      <c r="D39" s="18">
        <v>55000</v>
      </c>
      <c r="E39" s="18">
        <v>54000</v>
      </c>
      <c r="F39" s="9" t="s">
        <v>8</v>
      </c>
      <c r="G39" s="9" t="s">
        <v>28</v>
      </c>
    </row>
    <row r="40" spans="1:10" x14ac:dyDescent="0.3">
      <c r="A40" s="9">
        <v>7</v>
      </c>
      <c r="B40" s="10">
        <v>46082</v>
      </c>
      <c r="C40" s="9" t="s">
        <v>14</v>
      </c>
      <c r="D40" s="18">
        <v>55000</v>
      </c>
      <c r="E40" s="18">
        <v>51000</v>
      </c>
      <c r="F40" s="9" t="s">
        <v>8</v>
      </c>
      <c r="G40" s="9" t="s">
        <v>29</v>
      </c>
    </row>
    <row r="41" spans="1:10" x14ac:dyDescent="0.3">
      <c r="A41" s="9">
        <v>7</v>
      </c>
      <c r="B41" s="10">
        <v>46113</v>
      </c>
      <c r="C41" s="9" t="s">
        <v>7</v>
      </c>
      <c r="D41" s="18">
        <v>61000</v>
      </c>
      <c r="E41" s="6" t="s">
        <v>33</v>
      </c>
      <c r="F41" s="6" t="s">
        <v>33</v>
      </c>
      <c r="G41" s="6" t="s">
        <v>33</v>
      </c>
    </row>
    <row r="42" spans="1:10" x14ac:dyDescent="0.3">
      <c r="A42" s="9">
        <v>7</v>
      </c>
      <c r="B42" s="10">
        <v>46143</v>
      </c>
      <c r="C42" s="9" t="s">
        <v>11</v>
      </c>
      <c r="D42" s="18">
        <v>56000</v>
      </c>
      <c r="E42" s="6" t="s">
        <v>33</v>
      </c>
      <c r="F42" s="6" t="s">
        <v>33</v>
      </c>
      <c r="G42" s="6" t="s">
        <v>33</v>
      </c>
    </row>
    <row r="43" spans="1:10" x14ac:dyDescent="0.3">
      <c r="A43" s="9">
        <v>7</v>
      </c>
      <c r="B43" s="10">
        <v>46174</v>
      </c>
      <c r="C43" s="9" t="s">
        <v>14</v>
      </c>
      <c r="D43" s="18">
        <v>51000</v>
      </c>
      <c r="E43" s="6" t="s">
        <v>33</v>
      </c>
      <c r="F43" s="6" t="s">
        <v>33</v>
      </c>
      <c r="G43" s="6" t="s">
        <v>33</v>
      </c>
      <c r="H43" s="5">
        <f>SUM(D38:D40)</f>
        <v>170000</v>
      </c>
      <c r="I43" s="5">
        <f>SUM(E38:E40)</f>
        <v>167000</v>
      </c>
      <c r="J43" s="16">
        <v>3000</v>
      </c>
    </row>
    <row r="44" spans="1:10" x14ac:dyDescent="0.3">
      <c r="A44" s="8">
        <v>8</v>
      </c>
      <c r="B44" s="12">
        <v>46023</v>
      </c>
      <c r="C44" s="8" t="s">
        <v>7</v>
      </c>
      <c r="D44" s="14">
        <v>65000</v>
      </c>
      <c r="E44" s="14">
        <v>70000</v>
      </c>
      <c r="F44" s="8" t="s">
        <v>12</v>
      </c>
      <c r="G44" s="8" t="s">
        <v>30</v>
      </c>
    </row>
    <row r="45" spans="1:10" x14ac:dyDescent="0.3">
      <c r="A45" s="8">
        <v>8</v>
      </c>
      <c r="B45" s="12">
        <v>46054</v>
      </c>
      <c r="C45" s="8" t="s">
        <v>11</v>
      </c>
      <c r="D45" s="14">
        <v>60000</v>
      </c>
      <c r="E45" s="14">
        <v>59000</v>
      </c>
      <c r="F45" s="8" t="s">
        <v>8</v>
      </c>
      <c r="G45" s="8" t="s">
        <v>31</v>
      </c>
    </row>
    <row r="46" spans="1:10" x14ac:dyDescent="0.3">
      <c r="A46" s="8">
        <v>8</v>
      </c>
      <c r="B46" s="12">
        <v>46082</v>
      </c>
      <c r="C46" s="8" t="s">
        <v>14</v>
      </c>
      <c r="D46" s="14">
        <v>55000</v>
      </c>
      <c r="E46" s="14">
        <v>56000</v>
      </c>
      <c r="F46" s="8" t="s">
        <v>8</v>
      </c>
      <c r="G46" s="8" t="s">
        <v>32</v>
      </c>
    </row>
    <row r="47" spans="1:10" x14ac:dyDescent="0.3">
      <c r="A47" s="8">
        <v>8</v>
      </c>
      <c r="B47" s="12">
        <v>46113</v>
      </c>
      <c r="C47" s="8" t="s">
        <v>7</v>
      </c>
      <c r="D47" s="14">
        <v>67000</v>
      </c>
      <c r="E47" s="7" t="s">
        <v>33</v>
      </c>
      <c r="F47" s="7" t="s">
        <v>33</v>
      </c>
      <c r="G47" s="7" t="s">
        <v>33</v>
      </c>
    </row>
    <row r="48" spans="1:10" x14ac:dyDescent="0.3">
      <c r="A48" s="8">
        <v>8</v>
      </c>
      <c r="B48" s="12">
        <v>46143</v>
      </c>
      <c r="C48" s="8" t="s">
        <v>11</v>
      </c>
      <c r="D48" s="14">
        <v>62000</v>
      </c>
      <c r="E48" s="7" t="s">
        <v>33</v>
      </c>
      <c r="F48" s="7" t="s">
        <v>33</v>
      </c>
      <c r="G48" s="7" t="s">
        <v>33</v>
      </c>
    </row>
    <row r="49" spans="1:10" x14ac:dyDescent="0.3">
      <c r="A49" s="8">
        <v>8</v>
      </c>
      <c r="B49" s="12">
        <v>46174</v>
      </c>
      <c r="C49" s="8" t="s">
        <v>14</v>
      </c>
      <c r="D49" s="14">
        <v>57000</v>
      </c>
      <c r="E49" s="7" t="s">
        <v>33</v>
      </c>
      <c r="F49" s="7" t="s">
        <v>33</v>
      </c>
      <c r="G49" s="7" t="s">
        <v>33</v>
      </c>
      <c r="H49" s="5">
        <f>SUM(D44:D46)</f>
        <v>180000</v>
      </c>
      <c r="I49" s="5">
        <f>SUM(E44:E46)</f>
        <v>185000</v>
      </c>
      <c r="J49" s="17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Mira Cho</cp:lastModifiedBy>
  <dcterms:created xsi:type="dcterms:W3CDTF">2026-01-05T16:31:55Z</dcterms:created>
  <dcterms:modified xsi:type="dcterms:W3CDTF">2026-01-26T20:37:19Z</dcterms:modified>
</cp:coreProperties>
</file>